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Raw_Data/"/>
    </mc:Choice>
  </mc:AlternateContent>
  <xr:revisionPtr revIDLastSave="14" documentId="8_{8A0E73CD-2C51-4CD4-80F9-6F8620AFE1FB}" xr6:coauthVersionLast="47" xr6:coauthVersionMax="47" xr10:uidLastSave="{9EB626FB-720F-4841-A6E3-60C8D5067C9F}"/>
  <bookViews>
    <workbookView xWindow="10718" yWindow="0" windowWidth="10965" windowHeight="12863" xr2:uid="{00000000-000D-0000-FFFF-FFFF00000000}"/>
  </bookViews>
  <sheets>
    <sheet name="Resultados" sheetId="1" r:id="rId1"/>
    <sheet name="Parametros" sheetId="2" r:id="rId2"/>
  </sheets>
  <definedNames>
    <definedName name="_xlnm._FilterDatabase" localSheetId="0" hidden="1">Resultados!$A$1:$K$38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G38" i="1"/>
  <c r="D38" i="1"/>
  <c r="K37" i="1"/>
  <c r="H37" i="1"/>
  <c r="E37" i="1"/>
  <c r="K36" i="1"/>
  <c r="H36" i="1"/>
  <c r="E36" i="1"/>
  <c r="K35" i="1"/>
  <c r="H35" i="1"/>
  <c r="E35" i="1"/>
  <c r="K34" i="1"/>
  <c r="H34" i="1"/>
  <c r="E34" i="1"/>
  <c r="K33" i="1"/>
  <c r="H33" i="1"/>
  <c r="E33" i="1"/>
  <c r="K32" i="1"/>
  <c r="H32" i="1"/>
  <c r="E32" i="1"/>
  <c r="K31" i="1"/>
  <c r="H31" i="1"/>
  <c r="E31" i="1"/>
  <c r="K30" i="1"/>
  <c r="H30" i="1"/>
  <c r="E30" i="1"/>
  <c r="K29" i="1"/>
  <c r="H29" i="1"/>
  <c r="E29" i="1"/>
  <c r="K28" i="1"/>
  <c r="H28" i="1"/>
  <c r="E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H8" i="1"/>
  <c r="E8" i="1"/>
  <c r="K7" i="1"/>
  <c r="H7" i="1"/>
  <c r="E7" i="1"/>
  <c r="K6" i="1"/>
  <c r="H6" i="1"/>
  <c r="E6" i="1"/>
  <c r="K5" i="1"/>
  <c r="H5" i="1"/>
  <c r="E5" i="1"/>
  <c r="K4" i="1"/>
  <c r="H4" i="1"/>
  <c r="E4" i="1"/>
  <c r="K3" i="1"/>
  <c r="H3" i="1"/>
  <c r="E3" i="1"/>
  <c r="K2" i="1"/>
  <c r="H2" i="1"/>
  <c r="E2" i="1"/>
  <c r="H38" i="1" l="1"/>
  <c r="N6" i="1" s="1"/>
  <c r="E38" i="1"/>
  <c r="K38" i="1"/>
  <c r="N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Conteo de palabras extraído del PDF Focus_USACH.pdf.</t>
        </r>
      </text>
    </comment>
    <comment ref="G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Incluye glosarios integrados y páginas de glosario asociadas.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Supuesto explícito del análisis: 200 palabras por minuto.</t>
        </r>
      </text>
    </comment>
  </commentList>
</comments>
</file>

<file path=xl/sharedStrings.xml><?xml version="1.0" encoding="utf-8"?>
<sst xmlns="http://schemas.openxmlformats.org/spreadsheetml/2006/main" count="94" uniqueCount="93">
  <si>
    <t>N</t>
  </si>
  <si>
    <t>Contenido</t>
  </si>
  <si>
    <t>Página(s)</t>
  </si>
  <si>
    <t>Palabras sin glosario</t>
  </si>
  <si>
    <t>Tiempo sin glosario</t>
  </si>
  <si>
    <t>Palabras con glosario</t>
  </si>
  <si>
    <t>Tiempo con glosario</t>
  </si>
  <si>
    <t>Palabras de glosario</t>
  </si>
  <si>
    <t>Tiempo extra por glosario</t>
  </si>
  <si>
    <t>Supuesto</t>
  </si>
  <si>
    <t>1</t>
  </si>
  <si>
    <t>200 ppm</t>
  </si>
  <si>
    <t>3</t>
  </si>
  <si>
    <t>AFP</t>
  </si>
  <si>
    <t>5</t>
  </si>
  <si>
    <t>Totales</t>
  </si>
  <si>
    <t>7</t>
  </si>
  <si>
    <t>Sin glosario</t>
  </si>
  <si>
    <t>9</t>
  </si>
  <si>
    <t>Con glosario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</si>
  <si>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</si>
  <si>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</si>
  <si>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</si>
  <si>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</si>
  <si>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</si>
  <si>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</si>
  <si>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</si>
  <si>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</si>
  <si>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</si>
  <si>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</si>
  <si>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</si>
  <si>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</si>
  <si>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</si>
  <si>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</si>
  <si>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</si>
  <si>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</si>
  <si>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</si>
  <si>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</si>
  <si>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</si>
  <si>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</si>
  <si>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</si>
  <si>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53–54</t>
  </si>
  <si>
    <t>56</t>
  </si>
  <si>
    <t>58</t>
  </si>
  <si>
    <t>60</t>
  </si>
  <si>
    <t>62</t>
  </si>
  <si>
    <t>64–65</t>
  </si>
  <si>
    <t>67</t>
  </si>
  <si>
    <t>69</t>
  </si>
  <si>
    <t>71</t>
  </si>
  <si>
    <t>73</t>
  </si>
  <si>
    <t>TOTAL</t>
  </si>
  <si>
    <t>Velocidad de lectura estándar (palabras/min)</t>
  </si>
  <si>
    <t>Criterio</t>
  </si>
  <si>
    <t>Se excluyen las páginas "Evaluación rápida del módulo".</t>
  </si>
  <si>
    <t>Sin glosario = texto del módulo antes del encabezado "Glosario".</t>
  </si>
  <si>
    <t>Con glosario = texto completo del módulo, incluyendo glosario visible y páginas de glosario asociadas.</t>
  </si>
  <si>
    <t>Los tiempos se calculan automáticamente desde el conteo de palabras.</t>
  </si>
  <si>
    <t xml:space="preserve">Que_es_pension </t>
  </si>
  <si>
    <t>Pension_Autofinanciada</t>
  </si>
  <si>
    <t>Compania_Seguros</t>
  </si>
  <si>
    <t>Saldo_Cuenta_Individual</t>
  </si>
  <si>
    <t>Solicitud_Pension</t>
  </si>
  <si>
    <t>Certificado_de_Saldo</t>
  </si>
  <si>
    <t>Definicion_SCOMP</t>
  </si>
  <si>
    <t>Solicitud_Ofertas</t>
  </si>
  <si>
    <t>Certificado_Oferta</t>
  </si>
  <si>
    <t>Remate</t>
  </si>
  <si>
    <t>Evaluacion_Ofertas</t>
  </si>
  <si>
    <t>Acepta_Rechazo_Oferta</t>
  </si>
  <si>
    <t>Inicio_Pagos</t>
  </si>
  <si>
    <t>Modalidades_Pensiones</t>
  </si>
  <si>
    <t>Riesgo de longevidad</t>
  </si>
  <si>
    <t>Riesgo de rentabilidad</t>
  </si>
  <si>
    <t>Cambio_Modalidad</t>
  </si>
  <si>
    <t>Renta_Vitalicia</t>
  </si>
  <si>
    <t>Periodo_Garantizado</t>
  </si>
  <si>
    <t>Clausula_Incremento_Sobrevivencia</t>
  </si>
  <si>
    <t>Aumento_Temporal</t>
  </si>
  <si>
    <t>Calculo_Renta_Vitalicia</t>
  </si>
  <si>
    <t>Retiro_Programado</t>
  </si>
  <si>
    <t>Calculo_Retiro_Programado</t>
  </si>
  <si>
    <t>RVI_RP</t>
  </si>
  <si>
    <t>Calculo RVI_RP</t>
  </si>
  <si>
    <t>RT_RVD</t>
  </si>
  <si>
    <t>Calculo_RT_RVD</t>
  </si>
  <si>
    <t>Beneficiarios_Legales</t>
  </si>
  <si>
    <t>Pension_Sobrevivencia</t>
  </si>
  <si>
    <t>Herencia</t>
  </si>
  <si>
    <t>Movilidad_Fondos_APV_Pension</t>
  </si>
  <si>
    <t>ELD</t>
  </si>
  <si>
    <t>Asesores_Prev</t>
  </si>
  <si>
    <t>Comisiones_AFP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</si>
</sst>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3" borderId="0" xfId="0" applyFont="1" applyFill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0" fontId="0" fillId="0" borderId="4" xfId="0" applyBorder="1"/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190500</xdr:colOff>
      <xdr:row>22</xdr:row>
      <xdr:rowOff>109538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052904AB-EA5F-D759-09FE-33355A9A291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190500</xdr:colOff>
      <xdr:row>22</xdr:row>
      <xdr:rowOff>109538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E2DADF-0D94-6F89-6053-2CAB21BEB9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57625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190500</xdr:colOff>
      <xdr:row>22</xdr:row>
      <xdr:rowOff>109538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E6757A23-8315-D35C-79C4-43B15AE392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57625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4762500</xdr:colOff>
      <xdr:row>26</xdr:row>
      <xdr:rowOff>57150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30664ACB-0FF9-C04E-8302-AF319C042A4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4762500</xdr:colOff>
      <xdr:row>26</xdr:row>
      <xdr:rowOff>57150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A023F62-C12E-96DD-E501-94C13D396F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4762500</xdr:colOff>
      <xdr:row>26</xdr:row>
      <xdr:rowOff>57150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35C95B2-7217-8912-BFEA-06FD83B9FC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B7" sqref="B7:B10"/>
    </sheetView>
  </sheetViews>
  <sheetFormatPr baseColWidth="10" defaultColWidth="9.06640625" defaultRowHeight="14.25" x14ac:dyDescent="0.45"/>
  <cols>
    <col min="1" max="1" width="6" customWidth="1"/>
    <col min="2" max="2" width="48" customWidth="1"/>
    <col min="3" max="3" width="10" hidden="1" customWidth="1"/>
    <col min="4" max="4" width="20" hidden="1" customWidth="1"/>
    <col min="5" max="6" width="18" hidden="1" customWidth="1"/>
    <col min="7" max="7" width="20" hidden="1" customWidth="1"/>
    <col min="8" max="8" width="18" hidden="1" customWidth="1"/>
    <col min="9" max="10" width="18" customWidth="1"/>
    <col min="11" max="11" width="20" customWidth="1"/>
    <col min="13" max="13" width="16" customWidth="1"/>
    <col min="14" max="14" width="12" customWidth="1"/>
  </cols>
  <sheetData>
    <row r="1" spans="1:14" ht="12" customHeight="1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/>
      <c r="J1" s="1" t="s">
        <v>7</v>
      </c>
      <c r="K1" s="1" t="s">
        <v>8</v>
      </c>
      <c r="M1" s="2" t="s">
        <v>9</v>
      </c>
    </row>
    <row r="2" spans="1:14" ht="17" customHeight="1" x14ac:dyDescent="0.45">
      <c r="A2" s="3">
        <v>1</v>
      </c>
      <c r="B2" s="10" t="s">
        <v>58</v>
      </c>
      <c r="C2" s="3" t="s">
        <v>10</v>
      </c>
      <c r="D2" s="3">
        <v>140</v>
      </c>
      <c r="E2" s="4">
        <f>D2/Parametros!$B$2/1440</f>
        <v>4.861111111111111E-4</v>
      </c>
      <c r="F2" s="3">
        <v>42</v>
      </c>
      <c r="G2" s="3">
        <v>163</v>
      </c>
      <c r="H2" s="4">
        <f>G2/Parametros!$B$2/1440</f>
        <v>5.6597222222222216E-4</v>
      </c>
      <c r="I2" s="3">
        <v>49</v>
      </c>
      <c r="J2" s="3">
        <v>23</v>
      </c>
      <c r="K2" s="4">
        <f>(G2-D2)/Parametros!$B$2/1440</f>
        <v>7.9861111111111116E-5</v>
      </c>
      <c r="M2" s="5" t="s">
        <v>11</v>
      </c>
    </row>
    <row r="3" spans="1:14" ht="17" customHeight="1" x14ac:dyDescent="0.45">
      <c r="A3" s="3">
        <v>2</v>
      </c>
      <c r="B3" t="s">
        <v>59</v>
      </c>
      <c r="C3" s="3" t="s">
        <v>12</v>
      </c>
      <c r="D3" s="3">
        <v>171</v>
      </c>
      <c r="E3" s="4">
        <f>D3/Parametros!$B$2/1440</f>
        <v>5.9374999999999999E-4</v>
      </c>
      <c r="F3" s="3">
        <v>51</v>
      </c>
      <c r="G3" s="3">
        <v>236</v>
      </c>
      <c r="H3" s="4">
        <f>G3/Parametros!$B$2/1440</f>
        <v>8.1944444444444437E-4</v>
      </c>
      <c r="I3" s="3">
        <v>71</v>
      </c>
      <c r="J3" s="3">
        <v>65</v>
      </c>
      <c r="K3" s="4">
        <f>(G3-D3)/Parametros!$B$2/1440</f>
        <v>2.2569444444444446E-4</v>
      </c>
    </row>
    <row r="4" spans="1:14" ht="17" customHeight="1" x14ac:dyDescent="0.45">
      <c r="A4" s="3">
        <v>3</v>
      </c>
      <c r="B4" t="s">
        <v>13</v>
      </c>
      <c r="C4" s="3" t="s">
        <v>14</v>
      </c>
      <c r="D4" s="3">
        <v>102</v>
      </c>
      <c r="E4" s="4">
        <f>D4/Parametros!$B$2/1440</f>
        <v>3.5416666666666669E-4</v>
      </c>
      <c r="F4" s="3">
        <v>31</v>
      </c>
      <c r="G4" s="3">
        <v>102</v>
      </c>
      <c r="H4" s="4">
        <f>G4/Parametros!$B$2/1440</f>
        <v>3.5416666666666669E-4</v>
      </c>
      <c r="I4" s="3">
        <v>31</v>
      </c>
      <c r="J4" s="3">
        <v>0</v>
      </c>
      <c r="K4" s="4">
        <f>(G4-D4)/Parametros!$B$2/1440</f>
        <v>0</v>
      </c>
      <c r="M4" s="2" t="s">
        <v>15</v>
      </c>
    </row>
    <row r="5" spans="1:14" ht="17" customHeight="1" x14ac:dyDescent="0.45">
      <c r="A5" s="3">
        <v>4</v>
      </c>
      <c r="B5" t="s">
        <v>60</v>
      </c>
      <c r="C5" s="3" t="s">
        <v>16</v>
      </c>
      <c r="D5" s="3">
        <v>145</v>
      </c>
      <c r="E5" s="4">
        <f>D5/Parametros!$B$2/1440</f>
        <v>5.0347222222222221E-4</v>
      </c>
      <c r="F5" s="3">
        <v>44</v>
      </c>
      <c r="G5" s="3">
        <v>145</v>
      </c>
      <c r="H5" s="4">
        <f>G5/Parametros!$B$2/1440</f>
        <v>5.0347222222222221E-4</v>
      </c>
      <c r="I5" s="3">
        <v>44</v>
      </c>
      <c r="J5" s="3">
        <v>0</v>
      </c>
      <c r="K5" s="4">
        <f>(G5-D5)/Parametros!$B$2/1440</f>
        <v>0</v>
      </c>
      <c r="M5" t="s">
        <v>17</v>
      </c>
      <c r="N5" s="6">
        <f>E38</f>
        <v>2.3687500000000004E-2</v>
      </c>
    </row>
    <row r="6" spans="1:14" ht="17" customHeight="1" thickBot="1" x14ac:dyDescent="0.5">
      <c r="A6" s="3">
        <v>5</v>
      </c>
      <c r="B6" t="s">
        <v>61</v>
      </c>
      <c r="C6" s="3" t="s">
        <v>18</v>
      </c>
      <c r="D6" s="3">
        <v>94</v>
      </c>
      <c r="E6" s="4">
        <f>D6/Parametros!$B$2/1440</f>
        <v>3.2638888888888887E-4</v>
      </c>
      <c r="F6" s="3">
        <v>28</v>
      </c>
      <c r="G6" s="3">
        <v>94</v>
      </c>
      <c r="H6" s="4">
        <f>G6/Parametros!$B$2/1440</f>
        <v>3.2638888888888887E-4</v>
      </c>
      <c r="I6" s="3">
        <v>28</v>
      </c>
      <c r="J6" s="3">
        <v>0</v>
      </c>
      <c r="K6" s="4">
        <f>(G6-D6)/Parametros!$B$2/1440</f>
        <v>0</v>
      </c>
      <c r="M6" t="s">
        <v>19</v>
      </c>
      <c r="N6" s="6">
        <f>H38</f>
        <v>3.5500000000000004E-2</v>
      </c>
    </row>
    <row r="7" spans="1:14" ht="17" customHeight="1" x14ac:dyDescent="0.45">
      <c r="A7" s="3">
        <v>6</v>
      </c>
      <c r="B7" s="10" t="s">
        <v>89</v>
      </c>
      <c r="C7" s="3" t="s">
        <v>20</v>
      </c>
      <c r="D7" s="3">
        <v>170</v>
      </c>
      <c r="E7" s="4">
        <f>D7/Parametros!$B$2/1440</f>
        <v>5.9027777777777778E-4</v>
      </c>
      <c r="F7" s="3">
        <v>51</v>
      </c>
      <c r="G7" s="3">
        <v>170</v>
      </c>
      <c r="H7" s="4">
        <f>G7/Parametros!$B$2/1440</f>
        <v>5.9027777777777778E-4</v>
      </c>
      <c r="I7" s="3">
        <v>51</v>
      </c>
      <c r="J7" s="3">
        <v>0</v>
      </c>
      <c r="K7" s="4">
        <f>(G7-D7)/Parametros!$B$2/1440</f>
        <v>0</v>
      </c>
    </row>
    <row r="8" spans="1:14" ht="17" customHeight="1" x14ac:dyDescent="0.45">
      <c r="A8" s="3">
        <v>7</v>
      </c>
      <c r="B8" t="s">
        <v>90</v>
      </c>
      <c r="C8" s="3" t="s">
        <v>21</v>
      </c>
      <c r="D8" s="3">
        <v>158</v>
      </c>
      <c r="E8" s="4">
        <f>D8/Parametros!$B$2/1440</f>
        <v>5.4861111111111115E-4</v>
      </c>
      <c r="F8" s="3">
        <v>47</v>
      </c>
      <c r="G8" s="3">
        <v>158</v>
      </c>
      <c r="H8" s="4">
        <f>G8/Parametros!$B$2/1440</f>
        <v>5.4861111111111115E-4</v>
      </c>
      <c r="I8" s="3">
        <v>47</v>
      </c>
      <c r="J8" s="3">
        <v>0</v>
      </c>
      <c r="K8" s="4">
        <f>(G8-D8)/Parametros!$B$2/1440</f>
        <v>0</v>
      </c>
    </row>
    <row r="9" spans="1:14" ht="17" customHeight="1" x14ac:dyDescent="0.45">
      <c r="A9" s="3">
        <v>8</v>
      </c>
      <c r="B9" t="s">
        <v>91</v>
      </c>
      <c r="C9" s="3" t="s">
        <v>22</v>
      </c>
      <c r="D9" s="3">
        <v>200</v>
      </c>
      <c r="E9" s="4">
        <f>D9/Parametros!$B$2/1440</f>
        <v>6.9444444444444447E-4</v>
      </c>
      <c r="F9" s="3">
        <v>60</v>
      </c>
      <c r="G9" s="3">
        <v>200</v>
      </c>
      <c r="H9" s="4">
        <f>G9/Parametros!$B$2/1440</f>
        <v>6.9444444444444447E-4</v>
      </c>
      <c r="I9" s="3">
        <v>60</v>
      </c>
      <c r="J9" s="3">
        <v>0</v>
      </c>
      <c r="K9" s="4">
        <f>(G9-D9)/Parametros!$B$2/1440</f>
        <v>0</v>
      </c>
    </row>
    <row r="10" spans="1:14" ht="17" customHeight="1" x14ac:dyDescent="0.45">
      <c r="A10" s="3">
        <v>9</v>
      </c>
      <c r="B10" t="s">
        <v>92</v>
      </c>
      <c r="C10" s="3" t="s">
        <v>23</v>
      </c>
      <c r="D10" s="3">
        <v>64</v>
      </c>
      <c r="E10" s="4">
        <f>D10/Parametros!$B$2/1440</f>
        <v>2.2222222222222223E-4</v>
      </c>
      <c r="F10" s="3">
        <v>19</v>
      </c>
      <c r="G10" s="3">
        <v>64</v>
      </c>
      <c r="H10" s="4">
        <f>G10/Parametros!$B$2/1440</f>
        <v>2.2222222222222223E-4</v>
      </c>
      <c r="I10" s="3">
        <v>19</v>
      </c>
      <c r="J10" s="3">
        <v>0</v>
      </c>
      <c r="K10" s="4">
        <f>(G10-D10)/Parametros!$B$2/1440</f>
        <v>0</v>
      </c>
    </row>
    <row r="11" spans="1:14" ht="17" customHeight="1" x14ac:dyDescent="0.45">
      <c r="A11" s="3">
        <v>10</v>
      </c>
      <c r="B11" t="s">
        <v>62</v>
      </c>
      <c r="C11" s="3" t="s">
        <v>24</v>
      </c>
      <c r="D11" s="3">
        <v>161</v>
      </c>
      <c r="E11" s="4">
        <f>D11/Parametros!$B$2/1440</f>
        <v>5.5902777777777786E-4</v>
      </c>
      <c r="F11" s="3">
        <v>48</v>
      </c>
      <c r="G11" s="3">
        <v>265</v>
      </c>
      <c r="H11" s="4">
        <f>G11/Parametros!$B$2/1440</f>
        <v>9.2013888888888885E-4</v>
      </c>
      <c r="I11" s="3">
        <v>79</v>
      </c>
      <c r="J11" s="3">
        <v>104</v>
      </c>
      <c r="K11" s="4">
        <f>(G11-D11)/Parametros!$B$2/1440</f>
        <v>3.6111111111111115E-4</v>
      </c>
    </row>
    <row r="12" spans="1:14" ht="17" customHeight="1" thickBot="1" x14ac:dyDescent="0.5">
      <c r="A12" s="3">
        <v>11</v>
      </c>
      <c r="B12" s="11" t="s">
        <v>63</v>
      </c>
      <c r="C12" s="3" t="s">
        <v>25</v>
      </c>
      <c r="D12" s="3">
        <v>162</v>
      </c>
      <c r="E12" s="4">
        <f>D12/Parametros!$B$2/1440</f>
        <v>5.6250000000000007E-4</v>
      </c>
      <c r="F12" s="3">
        <v>49</v>
      </c>
      <c r="G12" s="3">
        <v>351</v>
      </c>
      <c r="H12" s="4">
        <f>G12/Parametros!$B$2/1440</f>
        <v>1.21875E-3</v>
      </c>
      <c r="I12" s="3">
        <v>105</v>
      </c>
      <c r="J12" s="3">
        <v>189</v>
      </c>
      <c r="K12" s="4">
        <f>(G12-D12)/Parametros!$B$2/1440</f>
        <v>6.5624999999999993E-4</v>
      </c>
    </row>
    <row r="13" spans="1:14" ht="17" customHeight="1" x14ac:dyDescent="0.45">
      <c r="A13" s="3">
        <v>12</v>
      </c>
      <c r="B13" s="10" t="s">
        <v>64</v>
      </c>
      <c r="C13" s="3" t="s">
        <v>26</v>
      </c>
      <c r="D13" s="3">
        <v>145</v>
      </c>
      <c r="E13" s="4">
        <f>D13/Parametros!$B$2/1440</f>
        <v>5.0347222222222221E-4</v>
      </c>
      <c r="F13" s="3">
        <v>44</v>
      </c>
      <c r="G13" s="3">
        <v>278</v>
      </c>
      <c r="H13" s="4">
        <f>G13/Parametros!$B$2/1440</f>
        <v>9.6527777777777768E-4</v>
      </c>
      <c r="I13" s="3">
        <v>83</v>
      </c>
      <c r="J13" s="3">
        <v>133</v>
      </c>
      <c r="K13" s="4">
        <f>(G13-D13)/Parametros!$B$2/1440</f>
        <v>4.6180555555555558E-4</v>
      </c>
    </row>
    <row r="14" spans="1:14" ht="17" customHeight="1" x14ac:dyDescent="0.45">
      <c r="A14" s="3">
        <v>13</v>
      </c>
      <c r="B14" t="s">
        <v>65</v>
      </c>
      <c r="C14" s="3" t="s">
        <v>27</v>
      </c>
      <c r="D14" s="3">
        <v>124</v>
      </c>
      <c r="E14" s="4">
        <f>D14/Parametros!$B$2/1440</f>
        <v>4.3055555555555555E-4</v>
      </c>
      <c r="F14" s="3">
        <v>37</v>
      </c>
      <c r="G14" s="3">
        <v>339</v>
      </c>
      <c r="H14" s="4">
        <f>G14/Parametros!$B$2/1440</f>
        <v>1.1770833333333334E-3</v>
      </c>
      <c r="I14" s="3">
        <v>102</v>
      </c>
      <c r="J14" s="3">
        <v>215</v>
      </c>
      <c r="K14" s="4">
        <f>(G14-D14)/Parametros!$B$2/1440</f>
        <v>7.4652777777777771E-4</v>
      </c>
    </row>
    <row r="15" spans="1:14" ht="17" customHeight="1" x14ac:dyDescent="0.45">
      <c r="A15" s="3">
        <v>14</v>
      </c>
      <c r="B15" t="s">
        <v>66</v>
      </c>
      <c r="C15" s="3" t="s">
        <v>28</v>
      </c>
      <c r="D15" s="3">
        <v>226</v>
      </c>
      <c r="E15" s="4">
        <f>D15/Parametros!$B$2/1440</f>
        <v>7.8472222222222214E-4</v>
      </c>
      <c r="F15" s="3">
        <v>68</v>
      </c>
      <c r="G15" s="3">
        <v>226</v>
      </c>
      <c r="H15" s="4">
        <f>G15/Parametros!$B$2/1440</f>
        <v>7.8472222222222214E-4</v>
      </c>
      <c r="I15" s="3">
        <v>68</v>
      </c>
      <c r="J15" s="3">
        <v>0</v>
      </c>
      <c r="K15" s="4">
        <f>(G15-D15)/Parametros!$B$2/1440</f>
        <v>0</v>
      </c>
    </row>
    <row r="16" spans="1:14" ht="17" customHeight="1" x14ac:dyDescent="0.45">
      <c r="A16" s="3">
        <v>15</v>
      </c>
      <c r="B16" t="s">
        <v>68</v>
      </c>
      <c r="C16" s="3" t="s">
        <v>29</v>
      </c>
      <c r="D16" s="3">
        <v>128</v>
      </c>
      <c r="E16" s="4">
        <f>D16/Parametros!$B$2/1440</f>
        <v>4.4444444444444447E-4</v>
      </c>
      <c r="F16" s="3">
        <v>38</v>
      </c>
      <c r="G16" s="3">
        <v>225</v>
      </c>
      <c r="H16" s="4">
        <f>G16/Parametros!$B$2/1440</f>
        <v>7.8125000000000004E-4</v>
      </c>
      <c r="I16" s="3">
        <v>67</v>
      </c>
      <c r="J16" s="3">
        <v>97</v>
      </c>
      <c r="K16" s="4">
        <f>(G16-D16)/Parametros!$B$2/1440</f>
        <v>3.3680555555555552E-4</v>
      </c>
    </row>
    <row r="17" spans="1:11" ht="17" customHeight="1" x14ac:dyDescent="0.45">
      <c r="A17" s="3">
        <v>16</v>
      </c>
      <c r="B17" t="s">
        <v>67</v>
      </c>
      <c r="C17" s="3" t="s">
        <v>30</v>
      </c>
      <c r="D17" s="3">
        <v>134</v>
      </c>
      <c r="E17" s="4">
        <f>D17/Parametros!$B$2/1440</f>
        <v>4.6527777777777778E-4</v>
      </c>
      <c r="F17" s="3">
        <v>40</v>
      </c>
      <c r="G17" s="3">
        <v>269</v>
      </c>
      <c r="H17" s="4">
        <f>G17/Parametros!$B$2/1440</f>
        <v>9.3402777777777776E-4</v>
      </c>
      <c r="I17" s="3">
        <v>81</v>
      </c>
      <c r="J17" s="3">
        <v>135</v>
      </c>
      <c r="K17" s="4">
        <f>(G17-D17)/Parametros!$B$2/1440</f>
        <v>4.6875000000000004E-4</v>
      </c>
    </row>
    <row r="18" spans="1:11" ht="17" customHeight="1" x14ac:dyDescent="0.45">
      <c r="A18" s="3">
        <v>17</v>
      </c>
      <c r="B18" t="s">
        <v>69</v>
      </c>
      <c r="C18" s="3" t="s">
        <v>31</v>
      </c>
      <c r="D18" s="3">
        <v>137</v>
      </c>
      <c r="E18" s="4">
        <f>D18/Parametros!$B$2/1440</f>
        <v>4.7569444444444449E-4</v>
      </c>
      <c r="F18" s="3">
        <v>41</v>
      </c>
      <c r="G18" s="3">
        <v>299</v>
      </c>
      <c r="H18" s="4">
        <f>G18/Parametros!$B$2/1440</f>
        <v>1.0381944444444445E-3</v>
      </c>
      <c r="I18" s="3">
        <v>90</v>
      </c>
      <c r="J18" s="3">
        <v>162</v>
      </c>
      <c r="K18" s="4">
        <f>(G18-D18)/Parametros!$B$2/1440</f>
        <v>5.6250000000000007E-4</v>
      </c>
    </row>
    <row r="19" spans="1:11" ht="17" customHeight="1" thickBot="1" x14ac:dyDescent="0.5">
      <c r="A19" s="3">
        <v>18</v>
      </c>
      <c r="B19" s="11" t="s">
        <v>70</v>
      </c>
      <c r="C19" s="3" t="s">
        <v>32</v>
      </c>
      <c r="D19" s="3">
        <v>118</v>
      </c>
      <c r="E19" s="4">
        <f>D19/Parametros!$B$2/1440</f>
        <v>4.0972222222222218E-4</v>
      </c>
      <c r="F19" s="3">
        <v>35</v>
      </c>
      <c r="G19" s="3">
        <v>118</v>
      </c>
      <c r="H19" s="4">
        <f>G19/Parametros!$B$2/1440</f>
        <v>4.0972222222222218E-4</v>
      </c>
      <c r="I19" s="3">
        <v>35</v>
      </c>
      <c r="J19" s="3">
        <v>0</v>
      </c>
      <c r="K19" s="4">
        <f>(G19-D19)/Parametros!$B$2/1440</f>
        <v>0</v>
      </c>
    </row>
    <row r="20" spans="1:11" ht="17" customHeight="1" thickBot="1" x14ac:dyDescent="0.5">
      <c r="A20" s="3">
        <v>19</v>
      </c>
      <c r="B20" t="s">
        <v>87</v>
      </c>
      <c r="C20" s="3" t="s">
        <v>33</v>
      </c>
      <c r="D20" s="3">
        <v>163</v>
      </c>
      <c r="E20" s="4">
        <f>D20/Parametros!$B$2/1440</f>
        <v>5.6597222222222216E-4</v>
      </c>
      <c r="F20" s="3">
        <v>49</v>
      </c>
      <c r="G20" s="3">
        <v>201</v>
      </c>
      <c r="H20" s="4">
        <f>G20/Parametros!$B$2/1440</f>
        <v>6.9791666666666656E-4</v>
      </c>
      <c r="I20" s="3">
        <v>60</v>
      </c>
      <c r="J20" s="3">
        <v>38</v>
      </c>
      <c r="K20" s="4">
        <f>(G20-D20)/Parametros!$B$2/1440</f>
        <v>1.3194444444444446E-4</v>
      </c>
    </row>
    <row r="21" spans="1:11" ht="17" customHeight="1" thickBot="1" x14ac:dyDescent="0.5">
      <c r="A21" s="3">
        <v>20</v>
      </c>
      <c r="B21" s="10" t="s">
        <v>86</v>
      </c>
      <c r="C21" s="3" t="s">
        <v>34</v>
      </c>
      <c r="D21" s="3">
        <v>200</v>
      </c>
      <c r="E21" s="4">
        <f>D21/Parametros!$B$2/1440</f>
        <v>6.9444444444444447E-4</v>
      </c>
      <c r="F21" s="3">
        <v>60</v>
      </c>
      <c r="G21" s="3">
        <v>250</v>
      </c>
      <c r="H21" s="4">
        <f>G21/Parametros!$B$2/1440</f>
        <v>8.6805555555555551E-4</v>
      </c>
      <c r="I21" s="3">
        <v>75</v>
      </c>
      <c r="J21" s="3">
        <v>50</v>
      </c>
      <c r="K21" s="4">
        <f>(G21-D21)/Parametros!$B$2/1440</f>
        <v>1.7361111111111112E-4</v>
      </c>
    </row>
    <row r="22" spans="1:11" ht="17" customHeight="1" x14ac:dyDescent="0.45">
      <c r="A22" s="3">
        <v>21</v>
      </c>
      <c r="B22" s="10" t="s">
        <v>88</v>
      </c>
      <c r="C22" s="3" t="s">
        <v>35</v>
      </c>
      <c r="D22" s="3">
        <v>244</v>
      </c>
      <c r="E22" s="4">
        <f>D22/Parametros!$B$2/1440</f>
        <v>8.4722222222222219E-4</v>
      </c>
      <c r="F22" s="3">
        <v>73</v>
      </c>
      <c r="G22" s="3">
        <v>366</v>
      </c>
      <c r="H22" s="4">
        <f>G22/Parametros!$B$2/1440</f>
        <v>1.2708333333333335E-3</v>
      </c>
      <c r="I22" s="3">
        <v>110</v>
      </c>
      <c r="J22" s="3">
        <v>122</v>
      </c>
      <c r="K22" s="4">
        <f>(G22-D22)/Parametros!$B$2/1440</f>
        <v>4.236111111111111E-4</v>
      </c>
    </row>
    <row r="23" spans="1:11" ht="17" customHeight="1" thickBot="1" x14ac:dyDescent="0.5">
      <c r="A23" s="3">
        <v>22</v>
      </c>
      <c r="B23" s="11" t="s">
        <v>71</v>
      </c>
      <c r="C23" s="3" t="s">
        <v>36</v>
      </c>
      <c r="D23" s="3">
        <v>217</v>
      </c>
      <c r="E23" s="4">
        <f>D23/Parametros!$B$2/1440</f>
        <v>7.5347222222222222E-4</v>
      </c>
      <c r="F23" s="3">
        <v>65</v>
      </c>
      <c r="G23" s="3">
        <v>312</v>
      </c>
      <c r="H23" s="4">
        <f>G23/Parametros!$B$2/1440</f>
        <v>1.0833333333333333E-3</v>
      </c>
      <c r="I23" s="3">
        <v>94</v>
      </c>
      <c r="J23" s="3">
        <v>95</v>
      </c>
      <c r="K23" s="4">
        <f>(G23-D23)/Parametros!$B$2/1440</f>
        <v>3.2986111111111112E-4</v>
      </c>
    </row>
    <row r="24" spans="1:11" ht="17" customHeight="1" x14ac:dyDescent="0.45">
      <c r="A24" s="3">
        <v>23</v>
      </c>
      <c r="B24" t="s">
        <v>72</v>
      </c>
      <c r="C24" s="3" t="s">
        <v>37</v>
      </c>
      <c r="D24" s="3">
        <v>175</v>
      </c>
      <c r="E24" s="4">
        <f>D24/Parametros!$B$2/1440</f>
        <v>6.076388888888889E-4</v>
      </c>
      <c r="F24" s="3">
        <v>53</v>
      </c>
      <c r="G24" s="3">
        <v>403</v>
      </c>
      <c r="H24" s="4">
        <f>G24/Parametros!$B$2/1440</f>
        <v>1.3993055555555555E-3</v>
      </c>
      <c r="I24" s="3">
        <v>121</v>
      </c>
      <c r="J24" s="3">
        <v>228</v>
      </c>
      <c r="K24" s="4">
        <f>(G24-D24)/Parametros!$B$2/1440</f>
        <v>7.9166666666666665E-4</v>
      </c>
    </row>
    <row r="25" spans="1:11" ht="17" customHeight="1" x14ac:dyDescent="0.45">
      <c r="A25" s="3">
        <v>24</v>
      </c>
      <c r="B25" t="s">
        <v>73</v>
      </c>
      <c r="C25" s="3" t="s">
        <v>38</v>
      </c>
      <c r="D25" s="3">
        <v>179</v>
      </c>
      <c r="E25" s="4">
        <f>D25/Parametros!$B$2/1440</f>
        <v>6.2152777777777781E-4</v>
      </c>
      <c r="F25" s="3">
        <v>54</v>
      </c>
      <c r="G25" s="3">
        <v>299</v>
      </c>
      <c r="H25" s="4">
        <f>G25/Parametros!$B$2/1440</f>
        <v>1.0381944444444445E-3</v>
      </c>
      <c r="I25" s="3">
        <v>90</v>
      </c>
      <c r="J25" s="3">
        <v>120</v>
      </c>
      <c r="K25" s="4">
        <f>(G25-D25)/Parametros!$B$2/1440</f>
        <v>4.1666666666666664E-4</v>
      </c>
    </row>
    <row r="26" spans="1:11" ht="17" customHeight="1" thickBot="1" x14ac:dyDescent="0.5">
      <c r="A26" s="3">
        <v>25</v>
      </c>
      <c r="B26" t="s">
        <v>74</v>
      </c>
      <c r="C26" s="3" t="s">
        <v>39</v>
      </c>
      <c r="D26" s="3">
        <v>131</v>
      </c>
      <c r="E26" s="4">
        <f>D26/Parametros!$B$2/1440</f>
        <v>4.5486111111111112E-4</v>
      </c>
      <c r="F26" s="3">
        <v>39</v>
      </c>
      <c r="G26" s="3">
        <v>388</v>
      </c>
      <c r="H26" s="4">
        <f>G26/Parametros!$B$2/1440</f>
        <v>1.3472222222222221E-3</v>
      </c>
      <c r="I26" s="3">
        <v>116</v>
      </c>
      <c r="J26" s="3">
        <v>257</v>
      </c>
      <c r="K26" s="4">
        <f>(G26-D26)/Parametros!$B$2/1440</f>
        <v>8.9236111111111102E-4</v>
      </c>
    </row>
    <row r="27" spans="1:11" ht="17" customHeight="1" x14ac:dyDescent="0.45">
      <c r="A27" s="3">
        <v>26</v>
      </c>
      <c r="B27" s="10" t="s">
        <v>75</v>
      </c>
      <c r="C27" s="3" t="s">
        <v>40</v>
      </c>
      <c r="D27" s="3">
        <v>232</v>
      </c>
      <c r="E27" s="4">
        <f>D27/Parametros!$B$2/1440</f>
        <v>8.0555555555555545E-4</v>
      </c>
      <c r="F27" s="3">
        <v>70</v>
      </c>
      <c r="G27" s="3">
        <v>415</v>
      </c>
      <c r="H27" s="4">
        <f>G27/Parametros!$B$2/1440</f>
        <v>1.4409722222222224E-3</v>
      </c>
      <c r="I27" s="3">
        <v>125</v>
      </c>
      <c r="J27" s="3">
        <v>183</v>
      </c>
      <c r="K27" s="4">
        <f>(G27-D27)/Parametros!$B$2/1440</f>
        <v>6.3541666666666673E-4</v>
      </c>
    </row>
    <row r="28" spans="1:11" ht="17" customHeight="1" x14ac:dyDescent="0.45">
      <c r="A28" s="3">
        <v>27</v>
      </c>
      <c r="B28" t="s">
        <v>79</v>
      </c>
      <c r="C28" s="3" t="s">
        <v>41</v>
      </c>
      <c r="D28" s="3">
        <v>271</v>
      </c>
      <c r="E28" s="4">
        <f>D28/Parametros!$B$2/1440</f>
        <v>9.4097222222222217E-4</v>
      </c>
      <c r="F28" s="3">
        <v>81</v>
      </c>
      <c r="G28" s="3">
        <v>424</v>
      </c>
      <c r="H28" s="4">
        <f>G28/Parametros!$B$2/1440</f>
        <v>1.4722222222222222E-3</v>
      </c>
      <c r="I28" s="3">
        <v>127</v>
      </c>
      <c r="J28" s="3">
        <v>153</v>
      </c>
      <c r="K28" s="4">
        <f>(G28-D28)/Parametros!$B$2/1440</f>
        <v>5.3125000000000004E-4</v>
      </c>
    </row>
    <row r="29" spans="1:11" ht="17" customHeight="1" thickBot="1" x14ac:dyDescent="0.5">
      <c r="A29" s="3">
        <v>28</v>
      </c>
      <c r="B29" s="11" t="s">
        <v>76</v>
      </c>
      <c r="C29" s="3" t="s">
        <v>42</v>
      </c>
      <c r="D29" s="3">
        <v>289</v>
      </c>
      <c r="E29" s="4">
        <f>D29/Parametros!$B$2/1440</f>
        <v>1.0034722222222222E-3</v>
      </c>
      <c r="F29" s="3">
        <v>87</v>
      </c>
      <c r="G29" s="3">
        <v>342</v>
      </c>
      <c r="H29" s="4">
        <f>G29/Parametros!$B$2/1440</f>
        <v>1.1875E-3</v>
      </c>
      <c r="I29" s="3">
        <v>103</v>
      </c>
      <c r="J29" s="3">
        <v>53</v>
      </c>
      <c r="K29" s="4">
        <f>(G29-D29)/Parametros!$B$2/1440</f>
        <v>1.8402777777777778E-4</v>
      </c>
    </row>
    <row r="30" spans="1:11" ht="17" customHeight="1" x14ac:dyDescent="0.45">
      <c r="A30" s="3">
        <v>29</v>
      </c>
      <c r="B30" s="12" t="s">
        <v>77</v>
      </c>
      <c r="C30" s="3" t="s">
        <v>43</v>
      </c>
      <c r="D30" s="3">
        <v>258</v>
      </c>
      <c r="E30" s="4">
        <f>D30/Parametros!$B$2/1440</f>
        <v>8.9583333333333333E-4</v>
      </c>
      <c r="F30" s="3">
        <v>77</v>
      </c>
      <c r="G30" s="3">
        <v>323</v>
      </c>
      <c r="H30" s="4">
        <f>G30/Parametros!$B$2/1440</f>
        <v>1.1215277777777777E-3</v>
      </c>
      <c r="I30" s="3">
        <v>97</v>
      </c>
      <c r="J30" s="3">
        <v>65</v>
      </c>
      <c r="K30" s="4">
        <f>(G30-D30)/Parametros!$B$2/1440</f>
        <v>2.2569444444444446E-4</v>
      </c>
    </row>
    <row r="31" spans="1:11" ht="17" customHeight="1" thickBot="1" x14ac:dyDescent="0.5">
      <c r="A31" s="3">
        <v>30</v>
      </c>
      <c r="B31" t="s">
        <v>78</v>
      </c>
      <c r="C31" s="3" t="s">
        <v>44</v>
      </c>
      <c r="D31" s="3">
        <v>288</v>
      </c>
      <c r="E31" s="4">
        <f>D31/Parametros!$B$2/1440</f>
        <v>1E-3</v>
      </c>
      <c r="F31" s="3">
        <v>86</v>
      </c>
      <c r="G31" s="3">
        <v>363</v>
      </c>
      <c r="H31" s="4">
        <f>G31/Parametros!$B$2/1440</f>
        <v>1.2604166666666666E-3</v>
      </c>
      <c r="I31" s="3">
        <v>109</v>
      </c>
      <c r="J31" s="3">
        <v>75</v>
      </c>
      <c r="K31" s="4">
        <f>(G31-D31)/Parametros!$B$2/1440</f>
        <v>2.6041666666666666E-4</v>
      </c>
    </row>
    <row r="32" spans="1:11" ht="17" customHeight="1" thickBot="1" x14ac:dyDescent="0.5">
      <c r="A32" s="3">
        <v>31</v>
      </c>
      <c r="B32" s="13" t="s">
        <v>80</v>
      </c>
      <c r="C32" s="3" t="s">
        <v>45</v>
      </c>
      <c r="D32" s="3">
        <v>216</v>
      </c>
      <c r="E32" s="4">
        <f>D32/Parametros!$B$2/1440</f>
        <v>7.5000000000000002E-4</v>
      </c>
      <c r="F32" s="3">
        <v>65</v>
      </c>
      <c r="G32" s="3">
        <v>411</v>
      </c>
      <c r="H32" s="4">
        <f>G32/Parametros!$B$2/1440</f>
        <v>1.4270833333333334E-3</v>
      </c>
      <c r="I32" s="3">
        <v>123</v>
      </c>
      <c r="J32" s="3">
        <v>195</v>
      </c>
      <c r="K32" s="4">
        <f>(G32-D32)/Parametros!$B$2/1440</f>
        <v>6.7708333333333336E-4</v>
      </c>
    </row>
    <row r="33" spans="1:11" ht="17" customHeight="1" thickBot="1" x14ac:dyDescent="0.5">
      <c r="A33" s="3">
        <v>32</v>
      </c>
      <c r="B33" s="10" t="s">
        <v>81</v>
      </c>
      <c r="C33" s="3" t="s">
        <v>46</v>
      </c>
      <c r="D33" s="3">
        <v>347</v>
      </c>
      <c r="E33" s="4">
        <f>D33/Parametros!$B$2/1440</f>
        <v>1.2048611111111112E-3</v>
      </c>
      <c r="F33" s="3">
        <v>104</v>
      </c>
      <c r="G33" s="3">
        <v>462</v>
      </c>
      <c r="H33" s="4">
        <f>G33/Parametros!$B$2/1440</f>
        <v>1.6041666666666667E-3</v>
      </c>
      <c r="I33" s="3">
        <v>139</v>
      </c>
      <c r="J33" s="3">
        <v>115</v>
      </c>
      <c r="K33" s="4">
        <f>(G33-D33)/Parametros!$B$2/1440</f>
        <v>3.9930555555555552E-4</v>
      </c>
    </row>
    <row r="34" spans="1:11" ht="17" customHeight="1" x14ac:dyDescent="0.45">
      <c r="A34" s="3">
        <v>33</v>
      </c>
      <c r="B34" s="10" t="s">
        <v>82</v>
      </c>
      <c r="C34" s="3" t="s">
        <v>47</v>
      </c>
      <c r="D34" s="3">
        <v>254</v>
      </c>
      <c r="E34" s="4">
        <f>D34/Parametros!$B$2/1440</f>
        <v>8.8194444444444442E-4</v>
      </c>
      <c r="F34" s="3">
        <v>76</v>
      </c>
      <c r="G34" s="3">
        <v>427</v>
      </c>
      <c r="H34" s="4">
        <f>G34/Parametros!$B$2/1440</f>
        <v>1.4826388888888888E-3</v>
      </c>
      <c r="I34" s="3">
        <v>128</v>
      </c>
      <c r="J34" s="3">
        <v>173</v>
      </c>
      <c r="K34" s="4">
        <f>(G34-D34)/Parametros!$B$2/1440</f>
        <v>6.0069444444444439E-4</v>
      </c>
    </row>
    <row r="35" spans="1:11" ht="17" customHeight="1" thickBot="1" x14ac:dyDescent="0.5">
      <c r="A35" s="3">
        <v>34</v>
      </c>
      <c r="B35" t="s">
        <v>83</v>
      </c>
      <c r="C35" s="3" t="s">
        <v>48</v>
      </c>
      <c r="D35" s="3">
        <v>219</v>
      </c>
      <c r="E35" s="4">
        <f>D35/Parametros!$B$2/1440</f>
        <v>7.6041666666666662E-4</v>
      </c>
      <c r="F35" s="3">
        <v>66</v>
      </c>
      <c r="G35" s="3">
        <v>329</v>
      </c>
      <c r="H35" s="4">
        <f>G35/Parametros!$B$2/1440</f>
        <v>1.1423611111111111E-3</v>
      </c>
      <c r="I35" s="3">
        <v>99</v>
      </c>
      <c r="J35" s="3">
        <v>110</v>
      </c>
      <c r="K35" s="4">
        <f>(G35-D35)/Parametros!$B$2/1440</f>
        <v>3.8194444444444446E-4</v>
      </c>
    </row>
    <row r="36" spans="1:11" ht="17" customHeight="1" x14ac:dyDescent="0.45">
      <c r="A36" s="3">
        <v>35</v>
      </c>
      <c r="B36" s="10" t="s">
        <v>84</v>
      </c>
      <c r="C36" s="3" t="s">
        <v>49</v>
      </c>
      <c r="D36" s="3">
        <v>367</v>
      </c>
      <c r="E36" s="4">
        <f>D36/Parametros!$B$2/1440</f>
        <v>1.2743055555555554E-3</v>
      </c>
      <c r="F36" s="3">
        <v>110</v>
      </c>
      <c r="G36" s="3">
        <v>504</v>
      </c>
      <c r="H36" s="4">
        <f>G36/Parametros!$B$2/1440</f>
        <v>1.75E-3</v>
      </c>
      <c r="I36" s="3">
        <v>151</v>
      </c>
      <c r="J36" s="3">
        <v>137</v>
      </c>
      <c r="K36" s="4">
        <f>(G36-D36)/Parametros!$B$2/1440</f>
        <v>4.7569444444444449E-4</v>
      </c>
    </row>
    <row r="37" spans="1:11" ht="17" customHeight="1" x14ac:dyDescent="0.45">
      <c r="A37" s="3">
        <v>36</v>
      </c>
      <c r="B37" s="12" t="s">
        <v>85</v>
      </c>
      <c r="C37" s="3" t="s">
        <v>50</v>
      </c>
      <c r="D37" s="3">
        <v>193</v>
      </c>
      <c r="E37" s="4">
        <f>D37/Parametros!$B$2/1440</f>
        <v>6.7013888888888885E-4</v>
      </c>
      <c r="F37" s="3">
        <v>58</v>
      </c>
      <c r="G37" s="3">
        <v>303</v>
      </c>
      <c r="H37" s="4">
        <f>G37/Parametros!$B$2/1440</f>
        <v>1.0520833333333333E-3</v>
      </c>
      <c r="I37" s="3">
        <v>91</v>
      </c>
      <c r="J37" s="3">
        <v>110</v>
      </c>
      <c r="K37" s="4">
        <f>(G37-D37)/Parametros!$B$2/1440</f>
        <v>3.8194444444444446E-4</v>
      </c>
    </row>
    <row r="38" spans="1:11" ht="12" customHeight="1" x14ac:dyDescent="0.45">
      <c r="A38" s="7" t="s">
        <v>51</v>
      </c>
      <c r="B38" s="7"/>
      <c r="C38" s="7"/>
      <c r="D38" s="7">
        <f t="shared" ref="D38:K38" si="0">SUM(D2:D37)</f>
        <v>6822</v>
      </c>
      <c r="E38" s="8">
        <f t="shared" si="0"/>
        <v>2.3687500000000004E-2</v>
      </c>
      <c r="F38" s="3"/>
      <c r="G38" s="7">
        <f t="shared" si="0"/>
        <v>10224</v>
      </c>
      <c r="H38" s="8">
        <f t="shared" si="0"/>
        <v>3.5500000000000004E-2</v>
      </c>
      <c r="I38" s="7"/>
      <c r="J38" s="7">
        <f t="shared" si="0"/>
        <v>3402</v>
      </c>
      <c r="K38" s="8">
        <f t="shared" si="0"/>
        <v>1.1812500000000004E-2</v>
      </c>
    </row>
  </sheetData>
  <conditionalFormatting sqref="B2">
    <cfRule type="duplicateValues" dxfId="13" priority="14"/>
  </conditionalFormatting>
  <conditionalFormatting sqref="B3:B6">
    <cfRule type="duplicateValues" dxfId="12" priority="13"/>
  </conditionalFormatting>
  <conditionalFormatting sqref="B11:B15">
    <cfRule type="duplicateValues" dxfId="11" priority="12"/>
  </conditionalFormatting>
  <conditionalFormatting sqref="B17">
    <cfRule type="duplicateValues" dxfId="10" priority="11"/>
  </conditionalFormatting>
  <conditionalFormatting sqref="B16">
    <cfRule type="duplicateValues" dxfId="9" priority="10"/>
  </conditionalFormatting>
  <conditionalFormatting sqref="B18:B19">
    <cfRule type="duplicateValues" dxfId="8" priority="9"/>
  </conditionalFormatting>
  <conditionalFormatting sqref="B23:B27">
    <cfRule type="duplicateValues" dxfId="7" priority="8"/>
  </conditionalFormatting>
  <conditionalFormatting sqref="B29:B31">
    <cfRule type="duplicateValues" dxfId="6" priority="7"/>
  </conditionalFormatting>
  <conditionalFormatting sqref="B28">
    <cfRule type="duplicateValues" dxfId="5" priority="6"/>
  </conditionalFormatting>
  <conditionalFormatting sqref="B32:B37">
    <cfRule type="duplicateValues" dxfId="4" priority="5"/>
  </conditionalFormatting>
  <conditionalFormatting sqref="B21">
    <cfRule type="duplicateValues" dxfId="3" priority="4"/>
  </conditionalFormatting>
  <conditionalFormatting sqref="B20">
    <cfRule type="duplicateValues" dxfId="2" priority="3"/>
  </conditionalFormatting>
  <conditionalFormatting sqref="B22">
    <cfRule type="duplicateValues" dxfId="1" priority="2"/>
  </conditionalFormatting>
  <conditionalFormatting sqref="B7:B10">
    <cfRule type="duplicateValues" dxfId="0" priority="1"/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06640625" defaultRowHeight="14.25" x14ac:dyDescent="0.45"/>
  <cols>
    <col min="1" max="1" width="88" customWidth="1"/>
    <col min="2" max="2" width="16" customWidth="1"/>
  </cols>
  <sheetData>
    <row r="1" spans="1:2" x14ac:dyDescent="0.45">
      <c r="A1" s="9" t="s">
        <v>9</v>
      </c>
    </row>
    <row r="2" spans="1:2" x14ac:dyDescent="0.45">
      <c r="A2" t="s">
        <v>52</v>
      </c>
      <c r="B2" s="5">
        <v>200</v>
      </c>
    </row>
    <row r="4" spans="1:2" x14ac:dyDescent="0.45">
      <c r="A4" s="9" t="s">
        <v>53</v>
      </c>
    </row>
    <row r="5" spans="1:2" x14ac:dyDescent="0.45">
      <c r="A5" t="s">
        <v>54</v>
      </c>
    </row>
    <row r="6" spans="1:2" x14ac:dyDescent="0.45">
      <c r="A6" t="s">
        <v>55</v>
      </c>
    </row>
    <row r="7" spans="1:2" x14ac:dyDescent="0.45">
      <c r="A7" t="s">
        <v>56</v>
      </c>
    </row>
    <row r="8" spans="1:2" x14ac:dyDescent="0.45">
      <c r="A8" t="s">
        <v>57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Utreras</cp:lastModifiedBy>
  <dcterms:created xsi:type="dcterms:W3CDTF">2026-03-12T17:51:12Z</dcterms:created>
  <dcterms:modified xsi:type="dcterms:W3CDTF">2026-03-12T18:51:29Z</dcterms:modified>
</cp:coreProperties>
</file>