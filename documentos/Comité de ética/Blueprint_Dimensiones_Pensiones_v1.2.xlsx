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Comité de ética/"/>
    </mc:Choice>
  </mc:AlternateContent>
  <xr:revisionPtr revIDLastSave="0" documentId="8_{49FE6B2B-4DD0-4F5F-9CEB-ECD46566195A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Dimensiones" sheetId="2" r:id="rId1"/>
    <sheet name="Blueprint" sheetId="6" r:id="rId2"/>
    <sheet name="Hoja3" sheetId="8" r:id="rId3"/>
    <sheet name="Registro de Items" sheetId="7" r:id="rId4"/>
    <sheet name="Mapa_Anexo" sheetId="5" r:id="rId5"/>
  </sheets>
  <definedNames>
    <definedName name="_xlnm._FilterDatabase" localSheetId="3" hidden="1">'Registro de Items'!$A$1:$S$51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F8" i="8"/>
  <c r="H12" i="6"/>
  <c r="F12" i="6"/>
</calcChain>
</file>

<file path=xl/sharedStrings.xml><?xml version="1.0" encoding="utf-8"?>
<sst xmlns="http://schemas.openxmlformats.org/spreadsheetml/2006/main" count="1101" uniqueCount="494">
  <si>
    <t>DimID</t>
  </si>
  <si>
    <t>Dimensión</t>
  </si>
  <si>
    <t>Descripción</t>
  </si>
  <si>
    <t>Anexo items (IDs)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</si>
  <si>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</si>
  <si>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</si>
  <si>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</si>
  <si>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</si>
  <si>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</si>
  <si>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</si>
  <si>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</si>
  <si>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</si>
  <si>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</si>
  <si>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</si>
  <si>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</si>
  <si>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</si>
  <si>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</si>
  <si>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</si>
  <si>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Conceptos generales de pensión</t>
  </si>
  <si>
    <t>Entidades y reguladores</t>
  </si>
  <si>
    <t>Ahorro previsional y saldo</t>
  </si>
  <si>
    <t>Proceso de solicitud y SCOMP (inicio–ofertas)</t>
  </si>
  <si>
    <t>Certificado de Ofertas y decisiones</t>
  </si>
  <si>
    <t>Finalización y pagos</t>
  </si>
  <si>
    <t>Modalidades de pensión (RP/RV)</t>
  </si>
  <si>
    <t>Riesgos y parámetros técnicos</t>
  </si>
  <si>
    <t>Modalidades combinadas</t>
  </si>
  <si>
    <t>Beneficiarios y sobrevivencia</t>
  </si>
  <si>
    <t>Herencia previsional</t>
  </si>
  <si>
    <t>Ahorro previsional voluntario (APV) y movilidad</t>
  </si>
  <si>
    <t>Excedente de Libre Disposición (ELD)</t>
  </si>
  <si>
    <t>Comisiones y transparencia</t>
  </si>
  <si>
    <t>Definiciones base: pensión, pensión autofinanciada.</t>
  </si>
  <si>
    <t>SP, CMF, AFP, Compañías de seguros, SCOMP; roles y diferencias.</t>
  </si>
  <si>
    <t>Cotizaciones obligatorias, saldo de cuenta individual.</t>
  </si>
  <si>
    <t>Solicitud en AFP, Certificado de Saldo, ingreso al SCOMP y solicitud de ofertas.</t>
  </si>
  <si>
    <t>Beneficiarios legales, declaración, pensión de sobrevivencia y cálculo base.</t>
  </si>
  <si>
    <t>Quién recibe, cómo se calcula.</t>
  </si>
  <si>
    <t>APV y movilidad de fondos para pensión.</t>
  </si>
  <si>
    <t>Definición, cálculo, tratamiento tributario e impacto.</t>
  </si>
  <si>
    <t>Asesores, comisiones de AFP/aseguradoras e impacto.</t>
  </si>
  <si>
    <t>1-2</t>
  </si>
  <si>
    <t>3-6,13</t>
  </si>
  <si>
    <t>7-8</t>
  </si>
  <si>
    <t>52-55</t>
  </si>
  <si>
    <t>56-58</t>
  </si>
  <si>
    <t>59-60</t>
  </si>
  <si>
    <t>61-65</t>
  </si>
  <si>
    <t>66-70</t>
  </si>
  <si>
    <t>Comprensión</t>
  </si>
  <si>
    <t>Aplicación</t>
  </si>
  <si>
    <t>F</t>
  </si>
  <si>
    <t>M</t>
  </si>
  <si>
    <t>Item Anexo (ID)</t>
  </si>
  <si>
    <t>Modalidades de pensión (RP/RV/RP+RVI/RT+RVD)</t>
  </si>
  <si>
    <t>Proceso de Pensión</t>
  </si>
  <si>
    <t>9-16, 19-22, 24,25</t>
  </si>
  <si>
    <t>Aportes Voluntarios</t>
  </si>
  <si>
    <t xml:space="preserve">Comisiones </t>
  </si>
  <si>
    <t>4 modalidades de pensión y otros conceptos</t>
  </si>
  <si>
    <t>28-29,30-36,43-51</t>
  </si>
  <si>
    <t>ÁreaID</t>
  </si>
  <si>
    <t>Área temática</t>
  </si>
  <si>
    <t>Objetivo de aprendizaje (resumen)</t>
  </si>
  <si>
    <t>Ítems · Comprensión</t>
  </si>
  <si>
    <t>Ítems · Aplicación</t>
  </si>
  <si>
    <t>Total ítems</t>
  </si>
  <si>
    <t>Dificultad (F/M/A)</t>
  </si>
  <si>
    <t>Observaciones</t>
  </si>
  <si>
    <t xml:space="preserve">Comprender definiciones base (jubilación, qué es pensión, etc) </t>
  </si>
  <si>
    <t>Tiempo estimado (seg)</t>
  </si>
  <si>
    <t xml:space="preserve">Pregunta Comun para todos los perfiles </t>
  </si>
  <si>
    <t xml:space="preserve">Comprender cuales son las entidades que rigen el sistema </t>
  </si>
  <si>
    <t xml:space="preserve">Comprender de dónde proviene el dinero para su jubilación </t>
  </si>
  <si>
    <t>Comprender cuál es el proceso en terminos generales y los pasos a seguir al momento de jubilar</t>
  </si>
  <si>
    <t xml:space="preserve">Pregunta diferenciada por perfil (con o sin derecho a SCOMP) </t>
  </si>
  <si>
    <t xml:space="preserve">Comprender cuales y como funcionan las distintas modalidades de pensión </t>
  </si>
  <si>
    <t>B</t>
  </si>
  <si>
    <t>A</t>
  </si>
  <si>
    <t>C</t>
  </si>
  <si>
    <t xml:space="preserve">Comprender quienes son los beneficiarios y cuánde se recibe pensión de sobrevivencia </t>
  </si>
  <si>
    <t xml:space="preserve">Pregunta diferenciada por perfil (con o sin beneficiarios legales) </t>
  </si>
  <si>
    <t>Comprender quien recibe herencia y cómo se paga esta</t>
  </si>
  <si>
    <t xml:space="preserve">Comprender cuales son los aportes voluntarios y cómo se relacionan con la pensión </t>
  </si>
  <si>
    <t xml:space="preserve">Pregunta diferenciada por perfil (con o sin aportes voluntarios) </t>
  </si>
  <si>
    <t xml:space="preserve">Comprender que es un excedente de libre disposición y los mecanismos para recibirlo </t>
  </si>
  <si>
    <t>Comprender que existen comisiones, cuáles son y porqué se cobran</t>
  </si>
  <si>
    <t>ItemID</t>
  </si>
  <si>
    <t>Versión</t>
  </si>
  <si>
    <t>Objetivo de aprendizaje (vínculo)</t>
  </si>
  <si>
    <t>Nivel cognitivo (Comprensión/Aplicación)</t>
  </si>
  <si>
    <t>Dificultad objetivo (F/M/A)</t>
  </si>
  <si>
    <t>Tipo de ítem (OM, caso breve, ordenamiento)</t>
  </si>
  <si>
    <t>Enunciado (borrador)</t>
  </si>
  <si>
    <t>Opción A</t>
  </si>
  <si>
    <t>Opción B</t>
  </si>
  <si>
    <t>Opción C</t>
  </si>
  <si>
    <t>Opción D</t>
  </si>
  <si>
    <t>Clave</t>
  </si>
  <si>
    <t>Razonamiento de la clave</t>
  </si>
  <si>
    <t>Distractores (justificación)</t>
  </si>
  <si>
    <t>Tiempo objetivo (seg)</t>
  </si>
  <si>
    <t>Notas de accesibilidad</t>
  </si>
  <si>
    <t>I01</t>
  </si>
  <si>
    <t>v0.1</t>
  </si>
  <si>
    <t>Ordena etapas clave del inicio de solicitud en AFP</t>
  </si>
  <si>
    <t>ordenamiento</t>
  </si>
  <si>
    <t>Ordena los pasos para iniciar una solicitud de pensión en una AFP.</t>
  </si>
  <si>
    <t>Elegir modalidad de pensión</t>
  </si>
  <si>
    <t>Obtener Certificado de Saldo</t>
  </si>
  <si>
    <t>Ingresar la solicitud de pensión</t>
  </si>
  <si>
    <t>Recibir propuestas y comparar</t>
  </si>
  <si>
    <t>C-B-D-A</t>
  </si>
  <si>
    <t>Primero se ingresa solicitud, luego CS; con ese documento se comparan propuestas y al final se elige.</t>
  </si>
  <si>
    <t>Errores comunes: elegir modalidad al inicio o comparar sin CS vigente.</t>
  </si>
  <si>
    <t>Fuente ≥16–18 px; alto contraste; lector de pantalla; navegación por teclado.</t>
  </si>
  <si>
    <t>Control de ordenamiento accesible (arrastrar/teclas); mostrar pasos como bloques claros.</t>
  </si>
  <si>
    <t>I02</t>
  </si>
  <si>
    <t>Comprender la necesidad de CS vigente para contratar</t>
  </si>
  <si>
    <t>OM</t>
  </si>
  <si>
    <t>“Una persona puede contratar una modalidad de pensión sin contar con Certificado de Saldo vigente.”</t>
  </si>
  <si>
    <t>El CS vigente es requisito para cotizar/contratar modalidades.</t>
  </si>
  <si>
    <t>Creencia de que basta con datos personales o un CS vencido.</t>
  </si>
  <si>
    <t>Botones grandes V/F; aleatorizar posición; sin feedback inmediato.</t>
  </si>
  <si>
    <t>I03</t>
  </si>
  <si>
    <t>Finalidad del Certificado de Saldo en el proceso</t>
  </si>
  <si>
    <t>¿Para qué se usa el Certificado de Saldo en el proceso de pensión?</t>
  </si>
  <si>
    <t>Para acreditar identidad ante IPS</t>
  </si>
  <si>
    <t>Para ingresar al SCOMP y obtener propuestas comparables</t>
  </si>
  <si>
    <t>Para fijar el monto de la PGU</t>
  </si>
  <si>
    <t>Para transferir fondos a la compañía de seguros</t>
  </si>
  <si>
    <t>El CS habilita el ingreso a SCOMP / ofertas comparables.</t>
  </si>
  <si>
    <t>Confusiones entre PGU, IPS o pagos.</t>
  </si>
  <si>
    <t>Aleatorizar alternativas; sin feedback inmediato.</t>
  </si>
  <si>
    <t>I04</t>
  </si>
  <si>
    <t>Secuencia posterior al CS</t>
  </si>
  <si>
    <t>Ana completó su solicitud en la AFP y ya tiene su Certificado de Saldo. ¿Qué corresponde a continuación?</t>
  </si>
  <si>
    <t>Firmar contrato de renta vitalicia de inmediato</t>
  </si>
  <si>
    <t>Esperar el pago de la primera pensión</t>
  </si>
  <si>
    <t>Ingresar al sistema de ofertas para comparar propuestas si corresponde</t>
  </si>
  <si>
    <t>Solicitar la PGU sin más trámites</t>
  </si>
  <si>
    <t>Con CS vigente, corresponde ingresar al sistema de ofertas (si aplica) para comparar.</t>
  </si>
  <si>
    <t>Firmar sin comparar o confundir con PGU.</t>
  </si>
  <si>
    <t>I05</t>
  </si>
  <si>
    <t>Orden correcto CS vs comparación</t>
  </si>
  <si>
    <t>“Primero se comparan propuestas y luego se obtiene el Certificado de Saldo.”</t>
  </si>
  <si>
    <t>El CS se obtiene antes; con él se comparan propuestas.</t>
  </si>
  <si>
    <t>Inversión del orden de pasos.</t>
  </si>
  <si>
    <t>Botones grandes V/F; aleatorizar posición.</t>
  </si>
  <si>
    <t>I06</t>
  </si>
  <si>
    <t>Identificar emisor del CS</t>
  </si>
  <si>
    <t>¿Quién emite el Certificado de Saldo?</t>
  </si>
  <si>
    <t>La AFP del afiliado</t>
  </si>
  <si>
    <t>La Superintendencia de Pensiones</t>
  </si>
  <si>
    <t>El IPS</t>
  </si>
  <si>
    <t>La compañía de seguros elegida</t>
  </si>
  <si>
    <t>El documento lo emite la AFP del afiliado.</t>
  </si>
  <si>
    <t>Confusión entre regulador (SP), IPS y compañías.</t>
  </si>
  <si>
    <t>I07</t>
  </si>
  <si>
    <t>Orden lógico: decisión SCOMP → comparación → contratación</t>
  </si>
  <si>
    <t>Ordena: (a) Definir si corresponde usar SCOMP; (b) Comparar propuestas; (c) Elegir modalidad y firmar.</t>
  </si>
  <si>
    <t>Definir si corresponde usar SCOMP</t>
  </si>
  <si>
    <t>Comparar propuestas</t>
  </si>
  <si>
    <t>Eligir modalidad y firmar</t>
  </si>
  <si>
    <t>A-B-C</t>
  </si>
  <si>
    <t>Primero se decide si aplica SCOMP, luego se comparan propuestas y finalmente se contrata.</t>
  </si>
  <si>
    <t>Invertir comparación/contratación; omitir verificación SCOMP.</t>
  </si>
  <si>
    <t>Control de ordenamiento accesible; bloques claros.</t>
  </si>
  <si>
    <t>I08</t>
  </si>
  <si>
    <t>Criterio de elección de modalidad adecuado al perfil</t>
  </si>
  <si>
    <t>¿Cuál criterio refleja mejor comprensión de la elección de modalidad?</t>
  </si>
  <si>
    <t>La que paga más el primer mes</t>
  </si>
  <si>
    <t>La que minimiza trámites</t>
  </si>
  <si>
    <t>La que mejor se ajusta a tu perfil (edad, beneficiarios, riesgo de longevidad, herencia) comparando propuestas</t>
  </si>
  <si>
    <t>La más mencionada por conocidos</t>
  </si>
  <si>
    <t>La elección debe ajustarse al perfil y comparación objetiva.</t>
  </si>
  <si>
    <t>Heurísticas superficiales (pago inicial, fama).</t>
  </si>
  <si>
    <t>I09</t>
  </si>
  <si>
    <t>Vigencia del CS para contratar</t>
  </si>
  <si>
    <t>“Un Certificado de Saldo vencido puede usarse sin problemas para contratar.”</t>
  </si>
  <si>
    <t>El CS debe estar vigente para los pasos posteriores.</t>
  </si>
  <si>
    <t>Confundir vigencia con existencia del documento.</t>
  </si>
  <si>
    <t>I10</t>
  </si>
  <si>
    <t>Cierre del proceso post-ofertas</t>
  </si>
  <si>
    <t>Tras recibir las propuestas comparables, ¿qué debe hacer la persona para concretar su pensión?</t>
  </si>
  <si>
    <t>Esperar que venza el certificado y reiniciar todo</t>
  </si>
  <si>
    <t>Elegir una propuesta dentro del plazo y firmar con la entidad correspondiente</t>
  </si>
  <si>
    <t>Ir al IPS a retirar el dinero</t>
  </si>
  <si>
    <t>No hacer nada; se contrata automáticamente</t>
  </si>
  <si>
    <t>Debe elegir y firmar dentro del plazo establecido.</t>
  </si>
  <si>
    <t>Creer en automatismos o pasos ajenos (IPS).</t>
  </si>
  <si>
    <t>I11</t>
  </si>
  <si>
    <t>Paso inicial con beneficiarios y SCOMP</t>
  </si>
  <si>
    <t>Tiene beneficiarios legales y derecho a SCOMP. ¿Qué hace primero tras solicitar pensión?</t>
  </si>
  <si>
    <t>Firmar contrato en compañía de seguros</t>
  </si>
  <si>
    <t>Obtener Certificado de Saldo e ingresar a SCOMP</t>
  </si>
  <si>
    <t>Solicitar la PGU</t>
  </si>
  <si>
    <t>Elegir AFP nueva</t>
  </si>
  <si>
    <t>Con beneficiarios y SCOMP, corresponde CS vigente e ingreso a SCOMP.</t>
  </si>
  <si>
    <t>Saltar a contratación sin comparar; confundir trámites.</t>
  </si>
  <si>
    <t>I12</t>
  </si>
  <si>
    <t>Impacto de beneficiarios en sobrevivencia</t>
  </si>
  <si>
    <t>Tener beneficiarios legales afecta principalmente:</t>
  </si>
  <si>
    <t>La necesidad de PGU</t>
  </si>
  <si>
    <t>El cálculo y la existencia de pensiones de sobrevivencia</t>
  </si>
  <si>
    <t>La inversión de los fondos</t>
  </si>
  <si>
    <t>La elección de AFP</t>
  </si>
  <si>
    <t>Beneficiarios determinan existencia/cálculo de sobrevivencia.</t>
  </si>
  <si>
    <t>Confundir con PGU o inversión.</t>
  </si>
  <si>
    <t>I13</t>
  </si>
  <si>
    <t>Relación modalidad–sobrevivencia con beneficiarios</t>
  </si>
  <si>
    <t>“Con beneficiarios legales, la elección de modalidad no afecta pensiones de sobrevivencia.”</t>
  </si>
  <si>
    <t>La modalidad elegida afecta cómo se paga la sobrevivencia.</t>
  </si>
  <si>
    <t>Pensar que la sobrevivencia es independiente de la modalidad.</t>
  </si>
  <si>
    <t>I14</t>
  </si>
  <si>
    <t>Qué entrega SCOMP</t>
  </si>
  <si>
    <t>SCOMP entrega:</t>
  </si>
  <si>
    <t>Un contrato único para firmar</t>
  </si>
  <si>
    <t>Propuestas comparables estandarizadas para decidir</t>
  </si>
  <si>
    <t>El pago inmediato de la pensión</t>
  </si>
  <si>
    <t>La resolución de la PGU</t>
  </si>
  <si>
    <t>El sistema estandariza propuestas comparables.</t>
  </si>
  <si>
    <t>Confundir con contrato, pago o PGU.</t>
  </si>
  <si>
    <t>I15</t>
  </si>
  <si>
    <t>Ruta sin SCOMP con beneficiarios</t>
  </si>
  <si>
    <t>No corresponde SCOMP, hay beneficiarios. ¿Qué corresponde tras obtener el Certificado de Saldo?</t>
  </si>
  <si>
    <t>Ir a compañía de seguros</t>
  </si>
  <si>
    <t>Continuar el trámite en la AFP según modalidad disponible sin SCOMP</t>
  </si>
  <si>
    <t>Solicitar traspaso a otra AFP</t>
  </si>
  <si>
    <t>Esperar notificación automática</t>
  </si>
  <si>
    <t>Sin SCOMP, se continúa el trámite en AFP según modalidades aplicables.</t>
  </si>
  <si>
    <t>Asumir que siempre se va a compañía o que todo es automático.</t>
  </si>
  <si>
    <t>I16</t>
  </si>
  <si>
    <t>Verificaciones relevantes con beneficiarios</t>
  </si>
  <si>
    <t>Con beneficiarios legales, es importante verificar:</t>
  </si>
  <si>
    <t>La vigencia del carnet</t>
  </si>
  <si>
    <t>Requisitos y cobertura de sobrevivencia según modalidad disponible</t>
  </si>
  <si>
    <t>Tasas de cambio</t>
  </si>
  <si>
    <t>Puntaje de egreso escolar</t>
  </si>
  <si>
    <t>La cobertura de sobrevivencia varía por modalidad.</t>
  </si>
  <si>
    <t>Distractores no pertinentes.</t>
  </si>
  <si>
    <t>I17</t>
  </si>
  <si>
    <t>Comparación cuando no corresponde SCOMP</t>
  </si>
  <si>
    <t>“Si no corresponde SCOMP, igualmente se deben comparar propuestas en el sistema.”</t>
  </si>
  <si>
    <t>Si no aplica SCOMP, se sigue el flujo de AFP; no hay plataforma de propuestas.</t>
  </si>
  <si>
    <t>Generalizar SCOMP a todos los casos.</t>
  </si>
  <si>
    <t>I18</t>
  </si>
  <si>
    <t>Documentación típica según caso</t>
  </si>
  <si>
    <t>¿Qué documento no es típico para este caso?</t>
  </si>
  <si>
    <t>Certificado de Saldo</t>
  </si>
  <si>
    <t>Identificación</t>
  </si>
  <si>
    <t>Comprobante de beneficiarios legales cuando aplique</t>
  </si>
  <si>
    <t>Certificado de Ofertas de SCOMP</t>
  </si>
  <si>
    <t>D</t>
  </si>
  <si>
    <t>El Certificado de Ofertas aplica cuando hay SCOMP.</t>
  </si>
  <si>
    <t>Confundir documentos base con específicos de SCOMP.</t>
  </si>
  <si>
    <t>I19</t>
  </si>
  <si>
    <t>Paso con SCOMP y sin beneficiarios</t>
  </si>
  <si>
    <t>Sin beneficiarios legales y con SCOMP. Tras obtener Certificado de Saldo:</t>
  </si>
  <si>
    <t>Ingresar a SCOMP para comparar propuestas</t>
  </si>
  <si>
    <t>Ir a IPS</t>
  </si>
  <si>
    <t>Solicitar PGU primero</t>
  </si>
  <si>
    <t>Firmar en AFP</t>
  </si>
  <si>
    <t>Corresponde ingresar a SCOMP y comparar.</t>
  </si>
  <si>
    <t>Saltar a contratación o trámites fuera del proceso.</t>
  </si>
  <si>
    <t>I20</t>
  </si>
  <si>
    <t>Criterio clave sin beneficiarios</t>
  </si>
  <si>
    <t>Sin beneficiarios legales, un criterio clave de elección es:</t>
  </si>
  <si>
    <t>Herencia asegurada siempre</t>
  </si>
  <si>
    <t>Cobertura de longevidad y nivel de pago a lo largo del tiempo</t>
  </si>
  <si>
    <t>Sugerencia de terceros</t>
  </si>
  <si>
    <t>La primera oferta</t>
  </si>
  <si>
    <t>Sin beneficiarios, pesa más la cobertura de longevidad/estabilidad.</t>
  </si>
  <si>
    <t>Heurísticas sociales o de saliencia.</t>
  </si>
  <si>
    <t>I21</t>
  </si>
  <si>
    <t>Diferencias entre modalidades con/sin beneficiarios</t>
  </si>
  <si>
    <t>“Sin beneficiarios, da lo mismo la modalidad porque todas pagan igual toda la vida.”</t>
  </si>
  <si>
    <t>Modalidades difieren en riesgos y trayectoria de pago.</t>
  </si>
  <si>
    <t>Asumir homogeneidad de modalidades.</t>
  </si>
  <si>
    <t>I22</t>
  </si>
  <si>
    <t>Cierre tras SCOMP</t>
  </si>
  <si>
    <t>Tras comparar en SCOMP, para concretar:</t>
  </si>
  <si>
    <t>Elegir una propuesta y firmar con la entidad correspondiente dentro del plazo</t>
  </si>
  <si>
    <t>Esperar renovación automática</t>
  </si>
  <si>
    <t>Volver a pedir el Certificado de Saldo sin necesidad</t>
  </si>
  <si>
    <t>Ir al IPS</t>
  </si>
  <si>
    <t>Se decide y firma en plazo; no hay automatismos.</t>
  </si>
  <si>
    <t>Creer que el sistema contrata solo o pasos ajenos.</t>
  </si>
  <si>
    <t>I23</t>
  </si>
  <si>
    <t>Ruta sin SCOMP y sin beneficiarios</t>
  </si>
  <si>
    <t>Sin SCOMP ni beneficiarios: después del Certificado de Saldo, corresponde:</t>
  </si>
  <si>
    <t>Completar el trámite en AFP según modalidad disponible</t>
  </si>
  <si>
    <t>Firmar con compañía de seguros vía SCOMP</t>
  </si>
  <si>
    <t>Traspasar fondos</t>
  </si>
  <si>
    <t>Esperar comunicación automática</t>
  </si>
  <si>
    <t>Sin SCOMP, el flujo continúa en AFP.</t>
  </si>
  <si>
    <t>Asumir que siempre interviene compañía o que es automático.</t>
  </si>
  <si>
    <t>I24</t>
  </si>
  <si>
    <t>Prioridad de criterios al elegir modalidad (perfil dado)</t>
  </si>
  <si>
    <t>En este perfil, al elegir modalidad se debe priorizar:</t>
  </si>
  <si>
    <t>Cobertura de longevidad y estabilidad del pago</t>
  </si>
  <si>
    <t>Recomendación de un amigo</t>
  </si>
  <si>
    <t>La que pague más el primer mes</t>
  </si>
  <si>
    <t>La que tenga menos papeles</t>
  </si>
  <si>
    <t>Se prioriza cobertura/estabilidad acorde al perfil.</t>
  </si>
  <si>
    <t>Heurísticas sociales o administrativas.</t>
  </si>
  <si>
    <t>I25</t>
  </si>
  <si>
    <t>CS requerido aun sin SCOMP</t>
  </si>
  <si>
    <t>“Sin SCOMP, no se requiere Certificado de Saldo.”</t>
  </si>
  <si>
    <t>El CS es base del proceso también sin SCOMP.</t>
  </si>
  <si>
    <t>Creer que el CS solo sirve para SCOMP.</t>
  </si>
  <si>
    <t>I26</t>
  </si>
  <si>
    <t>Afirmación correcta sobre sobrevivencia sin beneficiarios</t>
  </si>
  <si>
    <t>¿Cuál afirmación es correcta?</t>
  </si>
  <si>
    <t>Sin beneficiarios, no aplica pensión de sobrevivencia</t>
  </si>
  <si>
    <t>SCOMP es obligatorio en todos los casos</t>
  </si>
  <si>
    <t>PGU sustituye el proceso de pensión</t>
  </si>
  <si>
    <t>El Certificado de Saldo lo emite IPS</t>
  </si>
  <si>
    <t>La sobrevivencia requiere beneficiarios legales.</t>
  </si>
  <si>
    <t>Errores sobre obligatoriedad de SCOMP, PGU o emisor del CS.</t>
  </si>
  <si>
    <t>I27</t>
  </si>
  <si>
    <t>Vigencia del CS al enviar ofertas</t>
  </si>
  <si>
    <t>El Certificado de Saldo debe estar vigente al momento de enviar la solicitud de ofertas.</t>
  </si>
  <si>
    <t>La vigencia es requisito para el envío de ofertas.</t>
  </si>
  <si>
    <t>Minimizar la importancia de la vigencia.</t>
  </si>
  <si>
    <t>I28</t>
  </si>
  <si>
    <t>Acción al enviar solicitud cuando corresponde SCOMP</t>
  </si>
  <si>
    <t>Si tu caso corresponde a SCOMP, al enviar la solicitud debes:</t>
  </si>
  <si>
    <t>Continuar directamente en AFP sin SCOMP</t>
  </si>
  <si>
    <t>Ingresar al sistema de ofertas comparables para recibir propuestas</t>
  </si>
  <si>
    <t>Firmar de inmediato una renta vitalicia</t>
  </si>
  <si>
    <t>El flujo correcto es ingresar a ofertas y comparar.</t>
  </si>
  <si>
    <t>Saltar a contratación o ignorar SCOMP.</t>
  </si>
  <si>
    <t>I29</t>
  </si>
  <si>
    <t>Declaración de beneficiarios en formulario</t>
  </si>
  <si>
    <t>Si tienes beneficiarios legales, en el formulario corresponde marcar que sí y registrar los datos solicitados.</t>
  </si>
  <si>
    <t>Debe declararse para efectos de sobrevivencia y cálculo.</t>
  </si>
  <si>
    <t>Omitir declaración por considerarla “opcional”.</t>
  </si>
  <si>
    <t>I30</t>
  </si>
  <si>
    <t>Selección de modalidades a evaluar para propuestas comparables</t>
  </si>
  <si>
    <t>Para recibir propuestas comparables, debes seleccionar las modalidades que aplican a tu caso (p. ej., RVI, RP, Mixta).</t>
  </si>
  <si>
    <t>La selección acota el set de propuestas al perfil y modalidades pertinentes.</t>
  </si>
  <si>
    <t>Pensar que el sistema infiere sin selección explícita.</t>
  </si>
  <si>
    <t>I31</t>
  </si>
  <si>
    <t>Comisiones</t>
  </si>
  <si>
    <t>Declaración de asesoría/intermediación</t>
  </si>
  <si>
    <t>Si no tendrás asesoría ni intermediación, debes indicarlo explícitamente en la sección correspondiente del formulario.</t>
  </si>
  <si>
    <t>La transparencia exige indicar si hay asesoría/intermediación.</t>
  </si>
  <si>
    <t>Asumir que “no” es implícito.</t>
  </si>
  <si>
    <t>I32</t>
  </si>
  <si>
    <t>Campos mínimos de identificación</t>
  </si>
  <si>
    <t>¿Cuál conjunto cubre lo mínimo típico para identificarte en la solicitud?</t>
  </si>
  <si>
    <t>Solo RUT</t>
  </si>
  <si>
    <t>Solo correo electrónico</t>
  </si>
  <si>
    <t>RUT y nombre completo (+ datos de contacto según solicite el formulario)</t>
  </si>
  <si>
    <t>Se requiere identificación personal completa; el correo solo no basta.</t>
  </si>
  <si>
    <t>Reducir identificación a un dato único.</t>
  </si>
  <si>
    <t>I33</t>
  </si>
  <si>
    <t>Confirmación de veracidad/condiciones antes de enviar</t>
  </si>
  <si>
    <t>Antes de enviar, debes aceptar/confirmar la veracidad y condiciones del formulario.</t>
  </si>
  <si>
    <t>Es paso habitual de cierre del formulario.</t>
  </si>
  <si>
    <t>Pensar que el envío no requiere confirmación.</t>
  </si>
  <si>
    <t>I34</t>
  </si>
  <si>
    <t>Efecto de CS vencido sobre el envío</t>
  </si>
  <si>
    <t>Si tu Certificado de Saldo está vencido, puedes enviar igual la solicitud y luego reemplazarlo.</t>
  </si>
  <si>
    <t>No corresponde enviar con CS vencido.</t>
  </si>
  <si>
    <t>Creer que se puede “regularizar después”.</t>
  </si>
  <si>
    <t>I35</t>
  </si>
  <si>
    <t>RP: recálculo y variación del monto</t>
  </si>
  <si>
    <t>El Retiro Programado se recalcula periódicamente y el monto puede variar en el tiempo.</t>
  </si>
  <si>
    <t>El RP se recalcula y puede bajar/subir según saldo/rentabilidad.</t>
  </si>
  <si>
    <t>Pensar que es fijo como una renta vitalicia.</t>
  </si>
  <si>
    <t>I36</t>
  </si>
  <si>
    <t>Renta Vitalicia Inmediata: pagador y duración</t>
  </si>
  <si>
    <t>¿Cuál afirmación es correcta sobre la Renta Vitalicia Inmediata?</t>
  </si>
  <si>
    <t>La paga la AFP y dura hasta agotar el saldo</t>
  </si>
  <si>
    <t>La paga una Compañía de Seguros y se paga de por vida (en UF) incluyendo sobrevivencia según ley</t>
  </si>
  <si>
    <t>La paga la AFP y no se recalcula</t>
  </si>
  <si>
    <t>RVI la paga una compañía; es de por vida en UF, con reglas de sobrevivencia.</t>
  </si>
  <si>
    <t>Confundir con RP o con pagos de AFP.</t>
  </si>
  <si>
    <t>I37</t>
  </si>
  <si>
    <t>Funcionamiento de RT con RVD</t>
  </si>
  <si>
    <t>¿Cómo funciona la Renta Temporal con Renta Vitalicia Diferida?</t>
  </si>
  <si>
    <t>Primero paga la AFP (renta temporal); luego, desde la fecha pactada, paga la Compañía (renta vitalicia)</t>
  </si>
  <si>
    <t>Paga siempre la Compañía, desde el inicio</t>
  </si>
  <si>
    <t>Paga la AFP y nunca interviene una Compañía</t>
  </si>
  <si>
    <t>Secuencia correcta: RT por AFP → luego RVD por compañía.</t>
  </si>
  <si>
    <t>Confundir con RVI o negar intervención de compañía.</t>
  </si>
  <si>
    <t>I38</t>
  </si>
  <si>
    <t>Funcionamiento de RVI con RP</t>
  </si>
  <si>
    <t>¿Cómo funciona la Renta Vitalicia Inmediata con Retiro Programado?</t>
  </si>
  <si>
    <t>Se recibe solo RP hasta los 70 años</t>
  </si>
  <si>
    <t>Se reciben pagos simultáneos: uno de la AFP (RP) y otro de la Compañía (RVI)</t>
  </si>
  <si>
    <t>Es igual a la Renta Temporal con Renta Vitalicia Diferida</t>
  </si>
  <si>
    <t>En RVI+RP hay pagos simultáneos de AFP y Compañía.</t>
  </si>
  <si>
    <t>Confundir con RT+RVD.</t>
  </si>
  <si>
    <t>I39</t>
  </si>
  <si>
    <t>Efecto del período garantizado en RV</t>
  </si>
  <si>
    <t>Con Cláusula de Períodos Garantizados en una Renta Vitalicia, si el pensionado fallece antes de terminar el período garantizado, ¿qué ocurre?</t>
  </si>
  <si>
    <t>Se suspende el pago a beneficiarios</t>
  </si>
  <si>
    <t>La Compañía paga el 100% de la pensión contratada a los beneficiarios legales por el tiempo restante del período garantizado; luego rigen los porcentajes de ley</t>
  </si>
  <si>
    <t>Solo se paga si hay herederos testamentarios</t>
  </si>
  <si>
    <t>Durante el período garantizado se paga 100% a beneficiarios; luego aplica regla general.</t>
  </si>
  <si>
    <t>Asumir suspensión o confundir con herencia testamentaria.</t>
  </si>
  <si>
    <t>I40</t>
  </si>
  <si>
    <t>Dónde se cotizan condiciones especiales</t>
  </si>
  <si>
    <t>Las condiciones especiales (p. ej., Período Garantizado, aumento temporal de pensión) se cotizan a través del SCOMP.</t>
  </si>
  <si>
    <t>Se cotizan como parte del proceso a través de SCOMP.</t>
  </si>
  <si>
    <t>Pensar que se agregan después sin pasar por el sistema.</t>
  </si>
  <si>
    <t>I41</t>
  </si>
  <si>
    <t>Selección de modalidades en formulario para propuestas comparables</t>
  </si>
  <si>
    <t>Para recibir propuestas comparables acordes al perfil, en el formulario debes marcar las modalidades que deseas evaluar (p. ej., Renta Vitalicia Inmediata, Retiro Programado, mixtas).</t>
  </si>
  <si>
    <t>La selección explicita modalidades que luego se comparan.</t>
  </si>
  <si>
    <t>Asumir que el sistema decide sin entrada del usuario.</t>
  </si>
  <si>
    <t>I42</t>
  </si>
  <si>
    <t>Riesgo propio del RP vs RV</t>
  </si>
  <si>
    <t>¿Cuál es un riesgo propio del RP frente a una Renta Vitalicia?</t>
  </si>
  <si>
    <t>Que el saldo en la AFP pueda disminuir y, eventualmente, agotarse; el monto se recalcula y puede bajar</t>
  </si>
  <si>
    <t>Que el contrato sea irrevocable por ley</t>
  </si>
  <si>
    <t>Que no existan pensiones de sobrevivencia</t>
  </si>
  <si>
    <t>RP depende del saldo y rentabilidad; puede agotarse/disminuir monto.</t>
  </si>
  <si>
    <t>Atribuir a RP características de RV.</t>
  </si>
  <si>
    <t>I43</t>
  </si>
  <si>
    <t>Restricción sobre datos de contacto en Solicitud de Ofertas SCOMP</t>
  </si>
  <si>
    <t>En el formulario de Solicitud de Ofertas del SCOMP, ¿qué restricción existe sobre los datos de contacto?</t>
  </si>
  <si>
    <t>Pueden ser los del asesor o de la AFP si el afiliado lo autoriza</t>
  </si>
  <si>
    <t>No pueden corresponder al asesor, su representante/apoderado, agente, compañía, AFP ni a sus funcionarios</t>
  </si>
  <si>
    <t>Solo el correo puede ser del asesor</t>
  </si>
  <si>
    <t>Se exige independencia de contacto para transparencia/trasabilidad.</t>
  </si>
  <si>
    <t>Creer que el asesor puede figurar como contacto.</t>
  </si>
  <si>
    <t>I44</t>
  </si>
  <si>
    <t>Campos obligatorios del solicitante (además de RUT y nombre)</t>
  </si>
  <si>
    <t>¿Cuáles campos del solicitante son obligatorios (además del RUT y nombre)?</t>
  </si>
  <si>
    <t>Solo correo electrónico y teléfono</t>
  </si>
  <si>
    <t>Domicilio completo (calle, número, dpto, comuna, ciudad); teléfono y correo pueden ser opcionales</t>
  </si>
  <si>
    <t>Ninguno, todos son opcionales</t>
  </si>
  <si>
    <t>El domicilio completo suele ser requerido; contacto puede ser opcional según formato.</t>
  </si>
  <si>
    <t>Minimizar requerimientos o asumir opcionalidad total.</t>
  </si>
  <si>
    <t>I45</t>
  </si>
  <si>
    <t>Parámetros para cotizar RVI con condiciones especiales</t>
  </si>
  <si>
    <t>Al cotizar Renta Vitalicia Inmediata con condiciones especiales se debe:</t>
  </si>
  <si>
    <t>Elegir libremente más de 3 adicionales</t>
  </si>
  <si>
    <t>Indicar al menos 1 y hasta 3 entre: período garantizado, aumento temporal de pensión, o aumento de porcentaje de sobrevivencia (con sus meses/porcentajes)</t>
  </si>
  <si>
    <t>Solo período garantizado es válido</t>
  </si>
  <si>
    <t>Se permite hasta 3 condiciones especiales con sus parámetros.</t>
  </si>
  <si>
    <t>Pensar que hay libre cantidad o única condición.</t>
  </si>
  <si>
    <t>I46</t>
  </si>
  <si>
    <t>Parámetros para cotizar RT con RVD</t>
  </si>
  <si>
    <t>Para cotizar Renta Temporal con Renta Vitalicia Diferida se debe:</t>
  </si>
  <si>
    <t>Solo indicar la fecha de inicio de la RVD</t>
  </si>
  <si>
    <t>Indicar relación entre RT y RVD y los meses de diferimiento (hasta 3 periodos distintos), y si se cotiza con/sin condiciones especiales (período garantizado y/o aumento de porcentaje de sobrevivencia)</t>
  </si>
  <si>
    <t>No se permiten condiciones especiales</t>
  </si>
  <si>
    <t>Se parametriza relación RT–RVD, diferimiento y condiciones especiales.</t>
  </si>
  <si>
    <t>Reducir la parametrización a un único dato.</t>
  </si>
  <si>
    <t>I47</t>
  </si>
  <si>
    <t>Parámetros para cotizar RVI con RP</t>
  </si>
  <si>
    <t>En Renta Vitalicia Inmediata con Retiro Programado se debe:</t>
  </si>
  <si>
    <t>Indicar en UF el monto destinado a la RVI (menor al saldo total) y el destino de los Bonos de Reconocimiento (RVI o RP) si corresponde</t>
  </si>
  <si>
    <t>Destinar todo el saldo a RVI</t>
  </si>
  <si>
    <t>Excluir siempre los Bonos de Reconocimiento</t>
  </si>
  <si>
    <t>Debe especificarse el monto parcial a RVI y la asignación de bonos.</t>
  </si>
  <si>
    <t>Suponer 100% a RVI o ignorar bonos.</t>
  </si>
  <si>
    <t>I48</t>
  </si>
  <si>
    <t>Alcance de la cláusula de aumento temporal de pensión</t>
  </si>
  <si>
    <t>La cláusula de aumento temporal de pensión puede solicitarse:</t>
  </si>
  <si>
    <t>En cualquier modalidad y tipo de pensión</t>
  </si>
  <si>
    <t>Solo para vejez o invalidez, en RVI y RVI+RP, y además junto con período garantizado</t>
  </si>
  <si>
    <t>Solo para sobrevivencia</t>
  </si>
  <si>
    <t>Aplica a vejez/invalidez en RVI y RVI+RP; combinable con período garantizado.</t>
  </si>
  <si>
    <t>Generalizar a cualquier modalidad o restringir a sobrevivencia.</t>
  </si>
  <si>
    <t>I49</t>
  </si>
  <si>
    <t>Parámetros de declaración de ELD</t>
  </si>
  <si>
    <t>Si marca “Sí” a ELD, debe indicar…</t>
  </si>
  <si>
    <t>Nada más; el sistema calcula</t>
  </si>
  <si>
    <t>Si desea máximo y/o un monto específico; en RVI+RP debe señalar el monto específico</t>
  </si>
  <si>
    <t>Solo un monto en pesos</t>
  </si>
  <si>
    <t>Se solicita máximo y/o monto específico (según modalidad).</t>
  </si>
  <si>
    <t>Asumir cálculo automático o formato único.</t>
  </si>
  <si>
    <t>I50</t>
  </si>
  <si>
    <t>Transparencia de envío de documento explicativo</t>
  </si>
  <si>
    <t>El sistema debe enviar junto con la Solicitud de Ofertas el documento que explica las modalidades y las condiciones especiales al correo registrado.</t>
  </si>
  <si>
    <t>Medida de transparencia/información al solicitante.</t>
  </si>
  <si>
    <t>Pensar que no se entrega información formal por correo.</t>
  </si>
  <si>
    <t>D02</t>
  </si>
  <si>
    <t>D04</t>
  </si>
  <si>
    <t>D05</t>
  </si>
  <si>
    <t>D06</t>
  </si>
  <si>
    <t>D09</t>
  </si>
  <si>
    <t>F/M</t>
  </si>
  <si>
    <t>F/F/M</t>
  </si>
  <si>
    <t>F/M/M</t>
  </si>
  <si>
    <t>Conceptos generales de pensión/ ahorros previsionales y saldo</t>
  </si>
  <si>
    <t>F/F</t>
  </si>
  <si>
    <t xml:space="preserve">Beneficiarios y sobrevivencia y herencia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</si>
</sst>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124" workbookViewId="0">
      <selection activeCell="B17" sqref="B17"/>
    </sheetView>
  </sheetViews>
  <sheetFormatPr baseColWidth="10" defaultColWidth="9.06640625" defaultRowHeight="14.25" x14ac:dyDescent="0.45"/>
  <cols>
    <col min="2" max="2" width="38.46484375" bestFit="1" customWidth="1"/>
    <col min="3" max="3" width="70.33203125" bestFit="1" customWidth="1"/>
    <col min="4" max="4" width="15.1328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 t="s">
        <v>4</v>
      </c>
      <c r="B2" s="3" t="s">
        <v>18</v>
      </c>
      <c r="C2" s="3" t="s">
        <v>32</v>
      </c>
      <c r="D2" s="3" t="s">
        <v>41</v>
      </c>
    </row>
    <row r="3" spans="1:4" x14ac:dyDescent="0.45">
      <c r="A3" s="2" t="s">
        <v>5</v>
      </c>
      <c r="B3" s="2" t="s">
        <v>19</v>
      </c>
      <c r="C3" s="2" t="s">
        <v>33</v>
      </c>
      <c r="D3" s="2" t="s">
        <v>42</v>
      </c>
    </row>
    <row r="4" spans="1:4" x14ac:dyDescent="0.45">
      <c r="A4" s="3" t="s">
        <v>6</v>
      </c>
      <c r="B4" s="3" t="s">
        <v>20</v>
      </c>
      <c r="C4" s="3" t="s">
        <v>34</v>
      </c>
      <c r="D4" s="3" t="s">
        <v>43</v>
      </c>
    </row>
    <row r="5" spans="1:4" s="4" customFormat="1" x14ac:dyDescent="0.45">
      <c r="A5" s="3" t="s">
        <v>7</v>
      </c>
      <c r="B5" s="3" t="s">
        <v>55</v>
      </c>
      <c r="C5" s="3" t="s">
        <v>35</v>
      </c>
      <c r="D5" s="3" t="s">
        <v>56</v>
      </c>
    </row>
    <row r="6" spans="1:4" s="4" customFormat="1" x14ac:dyDescent="0.45">
      <c r="A6" s="3" t="s">
        <v>8</v>
      </c>
      <c r="B6" s="3" t="s">
        <v>54</v>
      </c>
      <c r="C6" s="3" t="s">
        <v>59</v>
      </c>
      <c r="D6" s="3" t="s">
        <v>60</v>
      </c>
    </row>
    <row r="7" spans="1:4" s="4" customFormat="1" x14ac:dyDescent="0.45">
      <c r="A7" s="3" t="s">
        <v>9</v>
      </c>
      <c r="B7" s="3" t="s">
        <v>27</v>
      </c>
      <c r="C7" s="3" t="s">
        <v>36</v>
      </c>
      <c r="D7" s="3" t="s">
        <v>44</v>
      </c>
    </row>
    <row r="8" spans="1:4" s="4" customFormat="1" x14ac:dyDescent="0.45">
      <c r="A8" s="3" t="s">
        <v>10</v>
      </c>
      <c r="B8" s="3" t="s">
        <v>28</v>
      </c>
      <c r="C8" s="3" t="s">
        <v>37</v>
      </c>
      <c r="D8" s="3" t="s">
        <v>45</v>
      </c>
    </row>
    <row r="9" spans="1:4" s="4" customFormat="1" x14ac:dyDescent="0.45">
      <c r="A9" s="3" t="s">
        <v>11</v>
      </c>
      <c r="B9" s="3" t="s">
        <v>57</v>
      </c>
      <c r="C9" s="3" t="s">
        <v>38</v>
      </c>
      <c r="D9" s="3" t="s">
        <v>46</v>
      </c>
    </row>
    <row r="10" spans="1:4" s="4" customFormat="1" x14ac:dyDescent="0.45">
      <c r="A10" s="2" t="s">
        <v>12</v>
      </c>
      <c r="B10" s="2" t="s">
        <v>30</v>
      </c>
      <c r="C10" s="2" t="s">
        <v>39</v>
      </c>
      <c r="D10" s="2" t="s">
        <v>47</v>
      </c>
    </row>
    <row r="11" spans="1:4" s="4" customFormat="1" x14ac:dyDescent="0.45">
      <c r="A11" s="3" t="s">
        <v>13</v>
      </c>
      <c r="B11" s="3" t="s">
        <v>58</v>
      </c>
      <c r="C11" s="3" t="s">
        <v>40</v>
      </c>
      <c r="D11" s="3" t="s">
        <v>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BA5-7100-4A22-855F-77962DC4F6E9}">
  <dimension ref="A1:I12"/>
  <sheetViews>
    <sheetView zoomScale="102" workbookViewId="0">
      <selection sqref="A1:XFD1048576"/>
    </sheetView>
  </sheetViews>
  <sheetFormatPr baseColWidth="10" defaultColWidth="9.06640625" defaultRowHeight="14.25" x14ac:dyDescent="0.45"/>
  <cols>
    <col min="2" max="2" width="26.59765625" customWidth="1"/>
    <col min="3" max="3" width="41.53125" customWidth="1"/>
    <col min="4" max="4" width="13.1328125" customWidth="1"/>
    <col min="9" max="9" width="32.3984375" customWidth="1"/>
  </cols>
  <sheetData>
    <row r="1" spans="1:9" ht="42.75" x14ac:dyDescent="0.45">
      <c r="A1" s="5" t="s">
        <v>61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70</v>
      </c>
      <c r="I1" s="5" t="s">
        <v>68</v>
      </c>
    </row>
    <row r="2" spans="1:9" ht="28.5" x14ac:dyDescent="0.45">
      <c r="A2" s="3" t="s">
        <v>4</v>
      </c>
      <c r="B2" s="7" t="s">
        <v>18</v>
      </c>
      <c r="C2" s="6" t="s">
        <v>69</v>
      </c>
      <c r="D2">
        <v>1</v>
      </c>
      <c r="E2">
        <v>0</v>
      </c>
      <c r="F2">
        <v>1</v>
      </c>
      <c r="G2" t="s">
        <v>51</v>
      </c>
      <c r="H2">
        <v>40</v>
      </c>
      <c r="I2" s="6" t="s">
        <v>71</v>
      </c>
    </row>
    <row r="3" spans="1:9" ht="28.5" x14ac:dyDescent="0.45">
      <c r="A3" s="2" t="s">
        <v>5</v>
      </c>
      <c r="B3" s="8" t="s">
        <v>19</v>
      </c>
      <c r="C3" s="6" t="s">
        <v>72</v>
      </c>
      <c r="D3">
        <v>1</v>
      </c>
      <c r="E3">
        <v>0</v>
      </c>
      <c r="F3">
        <v>1</v>
      </c>
      <c r="G3" t="s">
        <v>51</v>
      </c>
      <c r="H3">
        <v>40</v>
      </c>
      <c r="I3" s="6" t="s">
        <v>71</v>
      </c>
    </row>
    <row r="4" spans="1:9" ht="28.5" x14ac:dyDescent="0.45">
      <c r="A4" s="3" t="s">
        <v>6</v>
      </c>
      <c r="B4" s="7" t="s">
        <v>20</v>
      </c>
      <c r="C4" s="6" t="s">
        <v>73</v>
      </c>
      <c r="D4">
        <v>1</v>
      </c>
      <c r="E4">
        <v>1</v>
      </c>
      <c r="F4">
        <v>2</v>
      </c>
      <c r="G4" t="s">
        <v>488</v>
      </c>
      <c r="H4">
        <v>80</v>
      </c>
      <c r="I4" s="6" t="s">
        <v>71</v>
      </c>
    </row>
    <row r="5" spans="1:9" ht="42.75" x14ac:dyDescent="0.45">
      <c r="A5" s="3" t="s">
        <v>7</v>
      </c>
      <c r="B5" s="7" t="s">
        <v>55</v>
      </c>
      <c r="C5" s="6" t="s">
        <v>74</v>
      </c>
      <c r="D5">
        <v>2</v>
      </c>
      <c r="E5">
        <v>1</v>
      </c>
      <c r="F5">
        <v>3</v>
      </c>
      <c r="G5" t="s">
        <v>489</v>
      </c>
      <c r="H5">
        <v>150</v>
      </c>
      <c r="I5" s="6" t="s">
        <v>75</v>
      </c>
    </row>
    <row r="6" spans="1:9" ht="28.5" x14ac:dyDescent="0.45">
      <c r="A6" s="3" t="s">
        <v>8</v>
      </c>
      <c r="B6" s="7" t="s">
        <v>54</v>
      </c>
      <c r="C6" s="6" t="s">
        <v>76</v>
      </c>
      <c r="D6">
        <v>1</v>
      </c>
      <c r="E6">
        <v>2</v>
      </c>
      <c r="F6">
        <v>3</v>
      </c>
      <c r="G6" t="s">
        <v>490</v>
      </c>
      <c r="H6">
        <v>150</v>
      </c>
      <c r="I6" s="6" t="s">
        <v>75</v>
      </c>
    </row>
    <row r="7" spans="1:9" ht="28.5" x14ac:dyDescent="0.45">
      <c r="A7" s="3" t="s">
        <v>9</v>
      </c>
      <c r="B7" s="7" t="s">
        <v>27</v>
      </c>
      <c r="C7" s="6" t="s">
        <v>80</v>
      </c>
      <c r="D7">
        <v>1</v>
      </c>
      <c r="E7">
        <v>1</v>
      </c>
      <c r="F7">
        <v>2</v>
      </c>
      <c r="G7" t="s">
        <v>488</v>
      </c>
      <c r="H7">
        <v>100</v>
      </c>
      <c r="I7" s="6" t="s">
        <v>81</v>
      </c>
    </row>
    <row r="8" spans="1:9" ht="28.5" x14ac:dyDescent="0.45">
      <c r="A8" s="3" t="s">
        <v>10</v>
      </c>
      <c r="B8" s="7" t="s">
        <v>28</v>
      </c>
      <c r="C8" s="6" t="s">
        <v>82</v>
      </c>
      <c r="D8">
        <v>1</v>
      </c>
      <c r="E8">
        <v>0</v>
      </c>
      <c r="F8">
        <v>1</v>
      </c>
      <c r="G8" t="s">
        <v>51</v>
      </c>
      <c r="H8">
        <v>40</v>
      </c>
      <c r="I8" s="6" t="s">
        <v>71</v>
      </c>
    </row>
    <row r="9" spans="1:9" ht="28.5" x14ac:dyDescent="0.45">
      <c r="A9" s="3" t="s">
        <v>11</v>
      </c>
      <c r="B9" s="7" t="s">
        <v>57</v>
      </c>
      <c r="C9" s="6" t="s">
        <v>83</v>
      </c>
      <c r="D9">
        <v>1</v>
      </c>
      <c r="E9">
        <v>0</v>
      </c>
      <c r="F9">
        <v>1</v>
      </c>
      <c r="G9" t="s">
        <v>51</v>
      </c>
      <c r="H9">
        <v>40</v>
      </c>
      <c r="I9" s="6" t="s">
        <v>84</v>
      </c>
    </row>
    <row r="10" spans="1:9" ht="28.5" x14ac:dyDescent="0.45">
      <c r="A10" s="3" t="s">
        <v>12</v>
      </c>
      <c r="B10" s="7" t="s">
        <v>30</v>
      </c>
      <c r="C10" s="6" t="s">
        <v>85</v>
      </c>
      <c r="D10">
        <v>1</v>
      </c>
      <c r="E10">
        <v>0</v>
      </c>
      <c r="F10">
        <v>1</v>
      </c>
      <c r="G10" t="s">
        <v>51</v>
      </c>
      <c r="H10">
        <v>40</v>
      </c>
      <c r="I10" s="6" t="s">
        <v>75</v>
      </c>
    </row>
    <row r="11" spans="1:9" ht="28.5" x14ac:dyDescent="0.45">
      <c r="A11" s="3" t="s">
        <v>13</v>
      </c>
      <c r="B11" s="7" t="s">
        <v>58</v>
      </c>
      <c r="C11" s="6" t="s">
        <v>86</v>
      </c>
      <c r="D11">
        <v>1</v>
      </c>
      <c r="E11">
        <v>0</v>
      </c>
      <c r="F11">
        <v>1</v>
      </c>
      <c r="G11" t="s">
        <v>51</v>
      </c>
      <c r="H11">
        <v>40</v>
      </c>
      <c r="I11" s="6" t="s">
        <v>75</v>
      </c>
    </row>
    <row r="12" spans="1:9" x14ac:dyDescent="0.45">
      <c r="F12">
        <f>SUM(F2:F11)</f>
        <v>16</v>
      </c>
      <c r="H12">
        <f>SUM(H2:H11)/60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E247-E61D-40FE-A2EB-92C87110A2E7}">
  <dimension ref="A1:I8"/>
  <sheetViews>
    <sheetView workbookViewId="0">
      <selection activeCell="H8" sqref="H8"/>
    </sheetView>
  </sheetViews>
  <sheetFormatPr baseColWidth="10" defaultColWidth="9.06640625" defaultRowHeight="14.25" x14ac:dyDescent="0.45"/>
  <cols>
    <col min="2" max="2" width="26.59765625" customWidth="1"/>
    <col min="3" max="3" width="41.53125" customWidth="1"/>
    <col min="4" max="4" width="13.1328125" customWidth="1"/>
    <col min="9" max="9" width="32.3984375" customWidth="1"/>
  </cols>
  <sheetData>
    <row r="1" spans="1:9" ht="42.75" x14ac:dyDescent="0.45">
      <c r="A1" s="5" t="s">
        <v>61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70</v>
      </c>
      <c r="I1" s="5" t="s">
        <v>68</v>
      </c>
    </row>
    <row r="2" spans="1:9" ht="42.75" x14ac:dyDescent="0.45">
      <c r="A2" s="3" t="s">
        <v>4</v>
      </c>
      <c r="B2" s="7" t="s">
        <v>491</v>
      </c>
      <c r="C2" s="6" t="s">
        <v>69</v>
      </c>
      <c r="D2">
        <v>1</v>
      </c>
      <c r="E2">
        <v>1</v>
      </c>
      <c r="F2">
        <v>2</v>
      </c>
      <c r="G2" t="s">
        <v>492</v>
      </c>
      <c r="H2">
        <v>80</v>
      </c>
      <c r="I2" s="6" t="s">
        <v>71</v>
      </c>
    </row>
    <row r="3" spans="1:9" ht="42.75" x14ac:dyDescent="0.45">
      <c r="A3" s="3" t="s">
        <v>7</v>
      </c>
      <c r="B3" s="7" t="s">
        <v>55</v>
      </c>
      <c r="C3" s="6" t="s">
        <v>74</v>
      </c>
      <c r="D3">
        <v>2</v>
      </c>
      <c r="E3">
        <v>1</v>
      </c>
      <c r="F3">
        <v>3</v>
      </c>
      <c r="G3" t="s">
        <v>489</v>
      </c>
      <c r="H3">
        <v>150</v>
      </c>
      <c r="I3" s="6" t="s">
        <v>75</v>
      </c>
    </row>
    <row r="4" spans="1:9" ht="28.5" x14ac:dyDescent="0.45">
      <c r="A4" s="3" t="s">
        <v>8</v>
      </c>
      <c r="B4" s="7" t="s">
        <v>54</v>
      </c>
      <c r="C4" s="6" t="s">
        <v>76</v>
      </c>
      <c r="D4">
        <v>1</v>
      </c>
      <c r="E4">
        <v>2</v>
      </c>
      <c r="F4">
        <v>3</v>
      </c>
      <c r="G4" t="s">
        <v>490</v>
      </c>
      <c r="H4">
        <v>150</v>
      </c>
      <c r="I4" s="6" t="s">
        <v>75</v>
      </c>
    </row>
    <row r="5" spans="1:9" ht="28.5" x14ac:dyDescent="0.45">
      <c r="A5" s="3" t="s">
        <v>9</v>
      </c>
      <c r="B5" s="7" t="s">
        <v>493</v>
      </c>
      <c r="C5" s="6" t="s">
        <v>80</v>
      </c>
      <c r="D5">
        <v>1</v>
      </c>
      <c r="E5">
        <v>1</v>
      </c>
      <c r="F5">
        <v>2</v>
      </c>
      <c r="G5" t="s">
        <v>488</v>
      </c>
      <c r="H5">
        <v>100</v>
      </c>
      <c r="I5" s="6" t="s">
        <v>81</v>
      </c>
    </row>
    <row r="6" spans="1:9" ht="28.5" x14ac:dyDescent="0.45">
      <c r="A6" s="3" t="s">
        <v>11</v>
      </c>
      <c r="B6" s="7" t="s">
        <v>57</v>
      </c>
      <c r="C6" s="6" t="s">
        <v>83</v>
      </c>
      <c r="D6">
        <v>1</v>
      </c>
      <c r="E6">
        <v>0</v>
      </c>
      <c r="F6">
        <v>1</v>
      </c>
      <c r="G6" t="s">
        <v>51</v>
      </c>
      <c r="H6">
        <v>40</v>
      </c>
      <c r="I6" s="6" t="s">
        <v>84</v>
      </c>
    </row>
    <row r="7" spans="1:9" ht="28.5" x14ac:dyDescent="0.45">
      <c r="A7" s="3" t="s">
        <v>13</v>
      </c>
      <c r="B7" s="7" t="s">
        <v>58</v>
      </c>
      <c r="C7" s="6" t="s">
        <v>86</v>
      </c>
      <c r="D7">
        <v>1</v>
      </c>
      <c r="E7">
        <v>0</v>
      </c>
      <c r="F7">
        <v>1</v>
      </c>
      <c r="G7" t="s">
        <v>51</v>
      </c>
      <c r="H7">
        <v>40</v>
      </c>
      <c r="I7" s="6" t="s">
        <v>75</v>
      </c>
    </row>
    <row r="8" spans="1:9" x14ac:dyDescent="0.45">
      <c r="F8">
        <f>SUM(F2:F7)</f>
        <v>12</v>
      </c>
      <c r="H8">
        <f>SUM(H2:H7)/60</f>
        <v>9.3333333333333339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BBC2-F56C-4388-8A4E-7CCA7938065D}">
  <dimension ref="A1:S51"/>
  <sheetViews>
    <sheetView tabSelected="1" topLeftCell="A2" workbookViewId="0">
      <selection activeCell="C3" sqref="C3:C26"/>
    </sheetView>
  </sheetViews>
  <sheetFormatPr baseColWidth="10" defaultRowHeight="14.25" x14ac:dyDescent="0.45"/>
  <cols>
    <col min="4" max="4" width="24.1328125" customWidth="1"/>
    <col min="5" max="5" width="50.1328125" bestFit="1" customWidth="1"/>
    <col min="6" max="6" width="34.73046875" bestFit="1" customWidth="1"/>
    <col min="8" max="8" width="38.265625" bestFit="1" customWidth="1"/>
    <col min="9" max="9" width="84.1328125" bestFit="1" customWidth="1"/>
    <col min="15" max="15" width="80.59765625" bestFit="1" customWidth="1"/>
    <col min="16" max="16" width="56.33203125" bestFit="1" customWidth="1"/>
    <col min="17" max="17" width="18.53125" bestFit="1" customWidth="1"/>
    <col min="18" max="18" width="61.9296875" bestFit="1" customWidth="1"/>
    <col min="19" max="19" width="71.6640625" bestFit="1" customWidth="1"/>
  </cols>
  <sheetData>
    <row r="1" spans="1:19" x14ac:dyDescent="0.45">
      <c r="A1" s="9" t="s">
        <v>87</v>
      </c>
      <c r="B1" s="9" t="s">
        <v>88</v>
      </c>
      <c r="C1" s="9" t="s">
        <v>61</v>
      </c>
      <c r="D1" s="9" t="s">
        <v>62</v>
      </c>
      <c r="E1" s="9" t="s">
        <v>89</v>
      </c>
      <c r="F1" s="9" t="s">
        <v>90</v>
      </c>
      <c r="G1" s="9" t="s">
        <v>91</v>
      </c>
      <c r="H1" s="9" t="s">
        <v>92</v>
      </c>
      <c r="I1" s="9" t="s">
        <v>93</v>
      </c>
      <c r="J1" s="9" t="s">
        <v>94</v>
      </c>
      <c r="K1" s="9" t="s">
        <v>95</v>
      </c>
      <c r="L1" s="9" t="s">
        <v>96</v>
      </c>
      <c r="M1" s="9" t="s">
        <v>97</v>
      </c>
      <c r="N1" s="9" t="s">
        <v>98</v>
      </c>
      <c r="O1" s="9" t="s">
        <v>99</v>
      </c>
      <c r="P1" s="9" t="s">
        <v>100</v>
      </c>
      <c r="Q1" s="9" t="s">
        <v>101</v>
      </c>
      <c r="R1" s="9" t="s">
        <v>102</v>
      </c>
      <c r="S1" s="9" t="s">
        <v>68</v>
      </c>
    </row>
    <row r="2" spans="1:19" x14ac:dyDescent="0.45">
      <c r="A2" t="s">
        <v>149</v>
      </c>
      <c r="B2" t="s">
        <v>104</v>
      </c>
      <c r="C2" t="s">
        <v>483</v>
      </c>
      <c r="D2" t="s">
        <v>19</v>
      </c>
      <c r="E2" t="s">
        <v>150</v>
      </c>
      <c r="F2" t="s">
        <v>49</v>
      </c>
      <c r="G2" t="s">
        <v>51</v>
      </c>
      <c r="H2" t="s">
        <v>119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78</v>
      </c>
      <c r="O2" t="s">
        <v>156</v>
      </c>
      <c r="P2" t="s">
        <v>157</v>
      </c>
      <c r="Q2">
        <v>25</v>
      </c>
      <c r="R2" t="s">
        <v>115</v>
      </c>
      <c r="S2" t="s">
        <v>133</v>
      </c>
    </row>
    <row r="3" spans="1:19" x14ac:dyDescent="0.45">
      <c r="A3" t="s">
        <v>103</v>
      </c>
      <c r="B3" t="s">
        <v>104</v>
      </c>
      <c r="C3" t="s">
        <v>484</v>
      </c>
      <c r="D3" t="s">
        <v>55</v>
      </c>
      <c r="E3" t="s">
        <v>105</v>
      </c>
      <c r="F3" t="s">
        <v>50</v>
      </c>
      <c r="G3" t="s">
        <v>52</v>
      </c>
      <c r="H3" t="s">
        <v>106</v>
      </c>
      <c r="I3" t="s">
        <v>107</v>
      </c>
      <c r="J3" t="s">
        <v>108</v>
      </c>
      <c r="K3" t="s">
        <v>109</v>
      </c>
      <c r="L3" t="s">
        <v>110</v>
      </c>
      <c r="M3" t="s">
        <v>111</v>
      </c>
      <c r="N3" t="s">
        <v>112</v>
      </c>
      <c r="O3" t="s">
        <v>113</v>
      </c>
      <c r="P3" t="s">
        <v>114</v>
      </c>
      <c r="Q3">
        <v>60</v>
      </c>
      <c r="R3" t="s">
        <v>115</v>
      </c>
      <c r="S3" t="s">
        <v>116</v>
      </c>
    </row>
    <row r="4" spans="1:19" x14ac:dyDescent="0.45">
      <c r="A4" t="s">
        <v>117</v>
      </c>
      <c r="B4" t="s">
        <v>104</v>
      </c>
      <c r="C4" t="s">
        <v>484</v>
      </c>
      <c r="D4" t="s">
        <v>55</v>
      </c>
      <c r="E4" t="s">
        <v>118</v>
      </c>
      <c r="F4" t="s">
        <v>49</v>
      </c>
      <c r="G4" t="s">
        <v>51</v>
      </c>
      <c r="H4" t="s">
        <v>119</v>
      </c>
      <c r="I4" t="s">
        <v>120</v>
      </c>
      <c r="J4" t="b">
        <v>1</v>
      </c>
      <c r="K4" t="b">
        <v>0</v>
      </c>
      <c r="N4" t="s">
        <v>77</v>
      </c>
      <c r="O4" t="s">
        <v>121</v>
      </c>
      <c r="P4" t="s">
        <v>122</v>
      </c>
      <c r="Q4">
        <v>25</v>
      </c>
      <c r="R4" t="s">
        <v>115</v>
      </c>
      <c r="S4" t="s">
        <v>123</v>
      </c>
    </row>
    <row r="5" spans="1:19" x14ac:dyDescent="0.45">
      <c r="A5" t="s">
        <v>124</v>
      </c>
      <c r="B5" t="s">
        <v>104</v>
      </c>
      <c r="C5" t="s">
        <v>484</v>
      </c>
      <c r="D5" t="s">
        <v>55</v>
      </c>
      <c r="E5" t="s">
        <v>125</v>
      </c>
      <c r="F5" t="s">
        <v>49</v>
      </c>
      <c r="G5" t="s">
        <v>51</v>
      </c>
      <c r="H5" t="s">
        <v>119</v>
      </c>
      <c r="I5" t="s">
        <v>126</v>
      </c>
      <c r="J5" t="s">
        <v>127</v>
      </c>
      <c r="K5" t="s">
        <v>128</v>
      </c>
      <c r="L5" t="s">
        <v>129</v>
      </c>
      <c r="M5" t="s">
        <v>130</v>
      </c>
      <c r="N5" t="s">
        <v>77</v>
      </c>
      <c r="O5" t="s">
        <v>131</v>
      </c>
      <c r="P5" t="s">
        <v>132</v>
      </c>
      <c r="Q5">
        <v>30</v>
      </c>
      <c r="R5" t="s">
        <v>115</v>
      </c>
      <c r="S5" t="s">
        <v>133</v>
      </c>
    </row>
    <row r="6" spans="1:19" x14ac:dyDescent="0.45">
      <c r="A6" t="s">
        <v>134</v>
      </c>
      <c r="B6" t="s">
        <v>104</v>
      </c>
      <c r="C6" t="s">
        <v>484</v>
      </c>
      <c r="D6" t="s">
        <v>55</v>
      </c>
      <c r="E6" t="s">
        <v>135</v>
      </c>
      <c r="F6" t="s">
        <v>50</v>
      </c>
      <c r="G6" t="s">
        <v>52</v>
      </c>
      <c r="H6" t="s">
        <v>119</v>
      </c>
      <c r="I6" t="s">
        <v>136</v>
      </c>
      <c r="J6" t="s">
        <v>137</v>
      </c>
      <c r="K6" t="s">
        <v>138</v>
      </c>
      <c r="L6" t="s">
        <v>139</v>
      </c>
      <c r="M6" t="s">
        <v>140</v>
      </c>
      <c r="N6" t="s">
        <v>79</v>
      </c>
      <c r="O6" t="s">
        <v>141</v>
      </c>
      <c r="P6" t="s">
        <v>142</v>
      </c>
      <c r="Q6">
        <v>35</v>
      </c>
      <c r="R6" t="s">
        <v>115</v>
      </c>
      <c r="S6" t="s">
        <v>133</v>
      </c>
    </row>
    <row r="7" spans="1:19" x14ac:dyDescent="0.45">
      <c r="A7" t="s">
        <v>143</v>
      </c>
      <c r="B7" t="s">
        <v>104</v>
      </c>
      <c r="C7" t="s">
        <v>484</v>
      </c>
      <c r="D7" t="s">
        <v>55</v>
      </c>
      <c r="E7" t="s">
        <v>144</v>
      </c>
      <c r="F7" t="s">
        <v>49</v>
      </c>
      <c r="G7" t="s">
        <v>51</v>
      </c>
      <c r="H7" t="s">
        <v>119</v>
      </c>
      <c r="I7" t="s">
        <v>145</v>
      </c>
      <c r="J7" t="b">
        <v>1</v>
      </c>
      <c r="K7" t="b">
        <v>0</v>
      </c>
      <c r="N7" t="s">
        <v>77</v>
      </c>
      <c r="O7" t="s">
        <v>146</v>
      </c>
      <c r="P7" t="s">
        <v>147</v>
      </c>
      <c r="Q7">
        <v>25</v>
      </c>
      <c r="R7" t="s">
        <v>115</v>
      </c>
      <c r="S7" t="s">
        <v>148</v>
      </c>
    </row>
    <row r="8" spans="1:19" x14ac:dyDescent="0.45">
      <c r="A8" t="s">
        <v>158</v>
      </c>
      <c r="B8" t="s">
        <v>104</v>
      </c>
      <c r="C8" t="s">
        <v>484</v>
      </c>
      <c r="D8" t="s">
        <v>55</v>
      </c>
      <c r="E8" t="s">
        <v>159</v>
      </c>
      <c r="F8" t="s">
        <v>50</v>
      </c>
      <c r="G8" t="s">
        <v>52</v>
      </c>
      <c r="H8" t="s">
        <v>106</v>
      </c>
      <c r="I8" t="s">
        <v>160</v>
      </c>
      <c r="J8" t="s">
        <v>161</v>
      </c>
      <c r="K8" t="s">
        <v>162</v>
      </c>
      <c r="L8" t="s">
        <v>163</v>
      </c>
      <c r="N8" t="s">
        <v>164</v>
      </c>
      <c r="O8" t="s">
        <v>165</v>
      </c>
      <c r="P8" t="s">
        <v>166</v>
      </c>
      <c r="Q8">
        <v>50</v>
      </c>
      <c r="R8" t="s">
        <v>115</v>
      </c>
      <c r="S8" t="s">
        <v>167</v>
      </c>
    </row>
    <row r="9" spans="1:19" x14ac:dyDescent="0.45">
      <c r="A9" t="s">
        <v>177</v>
      </c>
      <c r="B9" t="s">
        <v>104</v>
      </c>
      <c r="C9" t="s">
        <v>484</v>
      </c>
      <c r="D9" t="s">
        <v>55</v>
      </c>
      <c r="E9" t="s">
        <v>178</v>
      </c>
      <c r="F9" t="s">
        <v>49</v>
      </c>
      <c r="G9" t="s">
        <v>51</v>
      </c>
      <c r="H9" t="s">
        <v>119</v>
      </c>
      <c r="I9" t="s">
        <v>179</v>
      </c>
      <c r="J9" t="b">
        <v>1</v>
      </c>
      <c r="K9" t="b">
        <v>0</v>
      </c>
      <c r="N9" t="s">
        <v>77</v>
      </c>
      <c r="O9" t="s">
        <v>180</v>
      </c>
      <c r="P9" t="s">
        <v>181</v>
      </c>
      <c r="Q9">
        <v>25</v>
      </c>
      <c r="R9" t="s">
        <v>115</v>
      </c>
      <c r="S9" t="s">
        <v>148</v>
      </c>
    </row>
    <row r="10" spans="1:19" x14ac:dyDescent="0.45">
      <c r="A10" t="s">
        <v>182</v>
      </c>
      <c r="B10" t="s">
        <v>104</v>
      </c>
      <c r="C10" t="s">
        <v>484</v>
      </c>
      <c r="D10" t="s">
        <v>55</v>
      </c>
      <c r="E10" t="s">
        <v>183</v>
      </c>
      <c r="F10" t="s">
        <v>50</v>
      </c>
      <c r="G10" t="s">
        <v>52</v>
      </c>
      <c r="H10" t="s">
        <v>119</v>
      </c>
      <c r="I10" t="s">
        <v>184</v>
      </c>
      <c r="J10" t="s">
        <v>185</v>
      </c>
      <c r="K10" t="s">
        <v>186</v>
      </c>
      <c r="L10" t="s">
        <v>187</v>
      </c>
      <c r="M10" t="s">
        <v>188</v>
      </c>
      <c r="N10" t="s">
        <v>77</v>
      </c>
      <c r="O10" t="s">
        <v>189</v>
      </c>
      <c r="P10" t="s">
        <v>190</v>
      </c>
      <c r="Q10">
        <v>35</v>
      </c>
      <c r="R10" t="s">
        <v>115</v>
      </c>
      <c r="S10" t="s">
        <v>133</v>
      </c>
    </row>
    <row r="11" spans="1:19" x14ac:dyDescent="0.45">
      <c r="A11" t="s">
        <v>191</v>
      </c>
      <c r="B11" t="s">
        <v>104</v>
      </c>
      <c r="C11" t="s">
        <v>484</v>
      </c>
      <c r="D11" t="s">
        <v>55</v>
      </c>
      <c r="E11" t="s">
        <v>192</v>
      </c>
      <c r="F11" t="s">
        <v>50</v>
      </c>
      <c r="G11" t="s">
        <v>52</v>
      </c>
      <c r="H11" t="s">
        <v>119</v>
      </c>
      <c r="I11" t="s">
        <v>193</v>
      </c>
      <c r="J11" t="s">
        <v>194</v>
      </c>
      <c r="K11" t="s">
        <v>195</v>
      </c>
      <c r="L11" t="s">
        <v>196</v>
      </c>
      <c r="M11" t="s">
        <v>197</v>
      </c>
      <c r="N11" t="s">
        <v>77</v>
      </c>
      <c r="O11" t="s">
        <v>198</v>
      </c>
      <c r="P11" t="s">
        <v>199</v>
      </c>
      <c r="Q11">
        <v>35</v>
      </c>
      <c r="R11" t="s">
        <v>115</v>
      </c>
      <c r="S11" t="s">
        <v>133</v>
      </c>
    </row>
    <row r="12" spans="1:19" x14ac:dyDescent="0.45">
      <c r="A12" t="s">
        <v>214</v>
      </c>
      <c r="B12" t="s">
        <v>104</v>
      </c>
      <c r="C12" t="s">
        <v>484</v>
      </c>
      <c r="D12" t="s">
        <v>55</v>
      </c>
      <c r="E12" t="s">
        <v>215</v>
      </c>
      <c r="F12" t="s">
        <v>49</v>
      </c>
      <c r="G12" t="s">
        <v>51</v>
      </c>
      <c r="H12" t="s">
        <v>119</v>
      </c>
      <c r="I12" t="s">
        <v>216</v>
      </c>
      <c r="J12" t="s">
        <v>217</v>
      </c>
      <c r="K12" t="s">
        <v>218</v>
      </c>
      <c r="L12" t="s">
        <v>219</v>
      </c>
      <c r="M12" t="s">
        <v>220</v>
      </c>
      <c r="N12" t="s">
        <v>77</v>
      </c>
      <c r="O12" t="s">
        <v>221</v>
      </c>
      <c r="P12" t="s">
        <v>222</v>
      </c>
      <c r="Q12">
        <v>30</v>
      </c>
      <c r="R12" t="s">
        <v>115</v>
      </c>
      <c r="S12" t="s">
        <v>133</v>
      </c>
    </row>
    <row r="13" spans="1:19" x14ac:dyDescent="0.45">
      <c r="A13" t="s">
        <v>223</v>
      </c>
      <c r="B13" t="s">
        <v>104</v>
      </c>
      <c r="C13" t="s">
        <v>484</v>
      </c>
      <c r="D13" t="s">
        <v>55</v>
      </c>
      <c r="E13" t="s">
        <v>224</v>
      </c>
      <c r="F13" t="s">
        <v>50</v>
      </c>
      <c r="G13" t="s">
        <v>52</v>
      </c>
      <c r="H13" t="s">
        <v>119</v>
      </c>
      <c r="I13" t="s">
        <v>225</v>
      </c>
      <c r="J13" t="s">
        <v>226</v>
      </c>
      <c r="K13" t="s">
        <v>227</v>
      </c>
      <c r="L13" t="s">
        <v>228</v>
      </c>
      <c r="M13" t="s">
        <v>229</v>
      </c>
      <c r="N13" t="s">
        <v>77</v>
      </c>
      <c r="O13" t="s">
        <v>230</v>
      </c>
      <c r="P13" t="s">
        <v>231</v>
      </c>
      <c r="Q13">
        <v>35</v>
      </c>
      <c r="R13" t="s">
        <v>115</v>
      </c>
      <c r="S13" t="s">
        <v>133</v>
      </c>
    </row>
    <row r="14" spans="1:19" x14ac:dyDescent="0.45">
      <c r="A14" t="s">
        <v>241</v>
      </c>
      <c r="B14" t="s">
        <v>104</v>
      </c>
      <c r="C14" t="s">
        <v>484</v>
      </c>
      <c r="D14" t="s">
        <v>55</v>
      </c>
      <c r="E14" t="s">
        <v>242</v>
      </c>
      <c r="F14" t="s">
        <v>49</v>
      </c>
      <c r="G14" t="s">
        <v>51</v>
      </c>
      <c r="H14" t="s">
        <v>119</v>
      </c>
      <c r="I14" t="s">
        <v>243</v>
      </c>
      <c r="J14" t="b">
        <v>1</v>
      </c>
      <c r="K14" t="b">
        <v>0</v>
      </c>
      <c r="N14" t="s">
        <v>77</v>
      </c>
      <c r="O14" t="s">
        <v>244</v>
      </c>
      <c r="P14" t="s">
        <v>245</v>
      </c>
      <c r="Q14">
        <v>25</v>
      </c>
      <c r="R14" t="s">
        <v>115</v>
      </c>
      <c r="S14" t="s">
        <v>148</v>
      </c>
    </row>
    <row r="15" spans="1:19" x14ac:dyDescent="0.45">
      <c r="A15" t="s">
        <v>246</v>
      </c>
      <c r="B15" t="s">
        <v>104</v>
      </c>
      <c r="C15" t="s">
        <v>484</v>
      </c>
      <c r="D15" t="s">
        <v>55</v>
      </c>
      <c r="E15" t="s">
        <v>247</v>
      </c>
      <c r="F15" t="s">
        <v>49</v>
      </c>
      <c r="G15" t="s">
        <v>52</v>
      </c>
      <c r="H15" t="s">
        <v>119</v>
      </c>
      <c r="I15" t="s">
        <v>248</v>
      </c>
      <c r="J15" t="s">
        <v>249</v>
      </c>
      <c r="K15" t="s">
        <v>250</v>
      </c>
      <c r="L15" t="s">
        <v>251</v>
      </c>
      <c r="M15" t="s">
        <v>252</v>
      </c>
      <c r="N15" t="s">
        <v>253</v>
      </c>
      <c r="O15" t="s">
        <v>254</v>
      </c>
      <c r="P15" t="s">
        <v>255</v>
      </c>
      <c r="Q15">
        <v>30</v>
      </c>
      <c r="R15" t="s">
        <v>115</v>
      </c>
      <c r="S15" t="s">
        <v>133</v>
      </c>
    </row>
    <row r="16" spans="1:19" x14ac:dyDescent="0.45">
      <c r="A16" t="s">
        <v>256</v>
      </c>
      <c r="B16" t="s">
        <v>104</v>
      </c>
      <c r="C16" t="s">
        <v>484</v>
      </c>
      <c r="D16" t="s">
        <v>55</v>
      </c>
      <c r="E16" t="s">
        <v>257</v>
      </c>
      <c r="F16" t="s">
        <v>50</v>
      </c>
      <c r="G16" t="s">
        <v>51</v>
      </c>
      <c r="H16" t="s">
        <v>119</v>
      </c>
      <c r="I16" t="s">
        <v>258</v>
      </c>
      <c r="J16" t="s">
        <v>259</v>
      </c>
      <c r="K16" t="s">
        <v>260</v>
      </c>
      <c r="L16" t="s">
        <v>261</v>
      </c>
      <c r="M16" t="s">
        <v>262</v>
      </c>
      <c r="N16" t="s">
        <v>78</v>
      </c>
      <c r="O16" t="s">
        <v>263</v>
      </c>
      <c r="P16" t="s">
        <v>264</v>
      </c>
      <c r="Q16">
        <v>30</v>
      </c>
      <c r="R16" t="s">
        <v>115</v>
      </c>
      <c r="S16" t="s">
        <v>133</v>
      </c>
    </row>
    <row r="17" spans="1:19" x14ac:dyDescent="0.45">
      <c r="A17" t="s">
        <v>279</v>
      </c>
      <c r="B17" t="s">
        <v>104</v>
      </c>
      <c r="C17" t="s">
        <v>484</v>
      </c>
      <c r="D17" t="s">
        <v>55</v>
      </c>
      <c r="E17" t="s">
        <v>280</v>
      </c>
      <c r="F17" t="s">
        <v>50</v>
      </c>
      <c r="G17" t="s">
        <v>52</v>
      </c>
      <c r="H17" t="s">
        <v>119</v>
      </c>
      <c r="I17" t="s">
        <v>281</v>
      </c>
      <c r="J17" t="s">
        <v>282</v>
      </c>
      <c r="K17" t="s">
        <v>283</v>
      </c>
      <c r="L17" t="s">
        <v>284</v>
      </c>
      <c r="M17" t="s">
        <v>285</v>
      </c>
      <c r="N17" t="s">
        <v>78</v>
      </c>
      <c r="O17" t="s">
        <v>286</v>
      </c>
      <c r="P17" t="s">
        <v>287</v>
      </c>
      <c r="Q17">
        <v>35</v>
      </c>
      <c r="R17" t="s">
        <v>115</v>
      </c>
      <c r="S17" t="s">
        <v>133</v>
      </c>
    </row>
    <row r="18" spans="1:19" x14ac:dyDescent="0.45">
      <c r="A18" t="s">
        <v>288</v>
      </c>
      <c r="B18" t="s">
        <v>104</v>
      </c>
      <c r="C18" t="s">
        <v>484</v>
      </c>
      <c r="D18" t="s">
        <v>55</v>
      </c>
      <c r="E18" t="s">
        <v>289</v>
      </c>
      <c r="F18" t="s">
        <v>50</v>
      </c>
      <c r="G18" t="s">
        <v>52</v>
      </c>
      <c r="H18" t="s">
        <v>119</v>
      </c>
      <c r="I18" t="s">
        <v>290</v>
      </c>
      <c r="J18" t="s">
        <v>291</v>
      </c>
      <c r="K18" t="s">
        <v>292</v>
      </c>
      <c r="L18" t="s">
        <v>293</v>
      </c>
      <c r="M18" t="s">
        <v>294</v>
      </c>
      <c r="N18" t="s">
        <v>78</v>
      </c>
      <c r="O18" t="s">
        <v>295</v>
      </c>
      <c r="P18" t="s">
        <v>296</v>
      </c>
      <c r="Q18">
        <v>30</v>
      </c>
      <c r="R18" t="s">
        <v>115</v>
      </c>
      <c r="S18" t="s">
        <v>133</v>
      </c>
    </row>
    <row r="19" spans="1:19" x14ac:dyDescent="0.45">
      <c r="A19" t="s">
        <v>306</v>
      </c>
      <c r="B19" t="s">
        <v>104</v>
      </c>
      <c r="C19" t="s">
        <v>484</v>
      </c>
      <c r="D19" t="s">
        <v>55</v>
      </c>
      <c r="E19" t="s">
        <v>307</v>
      </c>
      <c r="F19" t="s">
        <v>49</v>
      </c>
      <c r="G19" t="s">
        <v>51</v>
      </c>
      <c r="H19" t="s">
        <v>119</v>
      </c>
      <c r="I19" t="s">
        <v>308</v>
      </c>
      <c r="J19" t="b">
        <v>1</v>
      </c>
      <c r="K19" t="b">
        <v>0</v>
      </c>
      <c r="N19" t="s">
        <v>77</v>
      </c>
      <c r="O19" t="s">
        <v>309</v>
      </c>
      <c r="P19" t="s">
        <v>310</v>
      </c>
      <c r="Q19">
        <v>25</v>
      </c>
      <c r="R19" t="s">
        <v>115</v>
      </c>
      <c r="S19" t="s">
        <v>148</v>
      </c>
    </row>
    <row r="20" spans="1:19" x14ac:dyDescent="0.45">
      <c r="A20" t="s">
        <v>320</v>
      </c>
      <c r="B20" t="s">
        <v>104</v>
      </c>
      <c r="C20" t="s">
        <v>484</v>
      </c>
      <c r="D20" t="s">
        <v>55</v>
      </c>
      <c r="E20" t="s">
        <v>321</v>
      </c>
      <c r="F20" t="s">
        <v>49</v>
      </c>
      <c r="G20" t="s">
        <v>51</v>
      </c>
      <c r="H20" t="s">
        <v>119</v>
      </c>
      <c r="I20" t="s">
        <v>322</v>
      </c>
      <c r="J20" t="b">
        <v>1</v>
      </c>
      <c r="K20" t="b">
        <v>0</v>
      </c>
      <c r="N20" t="s">
        <v>78</v>
      </c>
      <c r="O20" t="s">
        <v>323</v>
      </c>
      <c r="P20" t="s">
        <v>324</v>
      </c>
      <c r="Q20">
        <v>25</v>
      </c>
      <c r="R20" t="s">
        <v>115</v>
      </c>
      <c r="S20" t="s">
        <v>148</v>
      </c>
    </row>
    <row r="21" spans="1:19" x14ac:dyDescent="0.45">
      <c r="A21" t="s">
        <v>325</v>
      </c>
      <c r="B21" t="s">
        <v>104</v>
      </c>
      <c r="C21" t="s">
        <v>484</v>
      </c>
      <c r="D21" t="s">
        <v>55</v>
      </c>
      <c r="E21" t="s">
        <v>326</v>
      </c>
      <c r="F21" t="s">
        <v>50</v>
      </c>
      <c r="G21" t="s">
        <v>52</v>
      </c>
      <c r="H21" t="s">
        <v>119</v>
      </c>
      <c r="I21" t="s">
        <v>327</v>
      </c>
      <c r="J21" t="s">
        <v>328</v>
      </c>
      <c r="K21" t="s">
        <v>329</v>
      </c>
      <c r="L21" t="s">
        <v>330</v>
      </c>
      <c r="N21" t="s">
        <v>77</v>
      </c>
      <c r="O21" t="s">
        <v>331</v>
      </c>
      <c r="P21" t="s">
        <v>332</v>
      </c>
      <c r="Q21">
        <v>30</v>
      </c>
      <c r="R21" t="s">
        <v>115</v>
      </c>
      <c r="S21" t="s">
        <v>133</v>
      </c>
    </row>
    <row r="22" spans="1:19" x14ac:dyDescent="0.45">
      <c r="A22" t="s">
        <v>349</v>
      </c>
      <c r="B22" t="s">
        <v>104</v>
      </c>
      <c r="C22" t="s">
        <v>484</v>
      </c>
      <c r="D22" t="s">
        <v>55</v>
      </c>
      <c r="E22" t="s">
        <v>350</v>
      </c>
      <c r="F22" t="s">
        <v>49</v>
      </c>
      <c r="G22" t="s">
        <v>51</v>
      </c>
      <c r="H22" t="s">
        <v>119</v>
      </c>
      <c r="I22" t="s">
        <v>351</v>
      </c>
      <c r="J22" t="s">
        <v>352</v>
      </c>
      <c r="K22" t="s">
        <v>353</v>
      </c>
      <c r="L22" t="s">
        <v>354</v>
      </c>
      <c r="N22" t="s">
        <v>79</v>
      </c>
      <c r="O22" t="s">
        <v>355</v>
      </c>
      <c r="P22" t="s">
        <v>356</v>
      </c>
      <c r="Q22">
        <v>30</v>
      </c>
      <c r="R22" t="s">
        <v>115</v>
      </c>
      <c r="S22" t="s">
        <v>133</v>
      </c>
    </row>
    <row r="23" spans="1:19" x14ac:dyDescent="0.45">
      <c r="A23" t="s">
        <v>357</v>
      </c>
      <c r="B23" t="s">
        <v>104</v>
      </c>
      <c r="C23" t="s">
        <v>484</v>
      </c>
      <c r="D23" t="s">
        <v>55</v>
      </c>
      <c r="E23" t="s">
        <v>358</v>
      </c>
      <c r="F23" t="s">
        <v>49</v>
      </c>
      <c r="G23" t="s">
        <v>51</v>
      </c>
      <c r="H23" t="s">
        <v>119</v>
      </c>
      <c r="I23" t="s">
        <v>359</v>
      </c>
      <c r="J23" t="b">
        <v>1</v>
      </c>
      <c r="K23" t="b">
        <v>0</v>
      </c>
      <c r="N23" t="s">
        <v>78</v>
      </c>
      <c r="O23" t="s">
        <v>360</v>
      </c>
      <c r="P23" t="s">
        <v>361</v>
      </c>
      <c r="Q23">
        <v>20</v>
      </c>
      <c r="R23" t="s">
        <v>115</v>
      </c>
      <c r="S23" t="s">
        <v>148</v>
      </c>
    </row>
    <row r="24" spans="1:19" x14ac:dyDescent="0.45">
      <c r="A24" t="s">
        <v>362</v>
      </c>
      <c r="B24" t="s">
        <v>104</v>
      </c>
      <c r="C24" t="s">
        <v>484</v>
      </c>
      <c r="D24" t="s">
        <v>55</v>
      </c>
      <c r="E24" t="s">
        <v>363</v>
      </c>
      <c r="F24" t="s">
        <v>49</v>
      </c>
      <c r="G24" t="s">
        <v>51</v>
      </c>
      <c r="H24" t="s">
        <v>119</v>
      </c>
      <c r="I24" t="s">
        <v>364</v>
      </c>
      <c r="J24" t="b">
        <v>1</v>
      </c>
      <c r="K24" t="b">
        <v>0</v>
      </c>
      <c r="N24" t="s">
        <v>77</v>
      </c>
      <c r="O24" t="s">
        <v>365</v>
      </c>
      <c r="P24" t="s">
        <v>366</v>
      </c>
      <c r="Q24">
        <v>25</v>
      </c>
      <c r="R24" t="s">
        <v>115</v>
      </c>
      <c r="S24" t="s">
        <v>148</v>
      </c>
    </row>
    <row r="25" spans="1:19" x14ac:dyDescent="0.45">
      <c r="A25" t="s">
        <v>409</v>
      </c>
      <c r="B25" t="s">
        <v>104</v>
      </c>
      <c r="C25" t="s">
        <v>484</v>
      </c>
      <c r="D25" t="s">
        <v>55</v>
      </c>
      <c r="E25" t="s">
        <v>410</v>
      </c>
      <c r="F25" t="s">
        <v>49</v>
      </c>
      <c r="G25" t="s">
        <v>51</v>
      </c>
      <c r="H25" t="s">
        <v>119</v>
      </c>
      <c r="I25" t="s">
        <v>411</v>
      </c>
      <c r="J25" t="b">
        <v>1</v>
      </c>
      <c r="K25" t="b">
        <v>0</v>
      </c>
      <c r="N25" t="s">
        <v>78</v>
      </c>
      <c r="O25" t="s">
        <v>412</v>
      </c>
      <c r="P25" t="s">
        <v>413</v>
      </c>
      <c r="Q25">
        <v>25</v>
      </c>
      <c r="R25" t="s">
        <v>115</v>
      </c>
      <c r="S25" t="s">
        <v>148</v>
      </c>
    </row>
    <row r="26" spans="1:19" x14ac:dyDescent="0.45">
      <c r="A26" t="s">
        <v>430</v>
      </c>
      <c r="B26" t="s">
        <v>104</v>
      </c>
      <c r="C26" t="s">
        <v>484</v>
      </c>
      <c r="D26" t="s">
        <v>55</v>
      </c>
      <c r="E26" t="s">
        <v>431</v>
      </c>
      <c r="F26" t="s">
        <v>49</v>
      </c>
      <c r="G26" t="s">
        <v>52</v>
      </c>
      <c r="H26" t="s">
        <v>119</v>
      </c>
      <c r="I26" t="s">
        <v>432</v>
      </c>
      <c r="J26" t="s">
        <v>433</v>
      </c>
      <c r="K26" t="s">
        <v>434</v>
      </c>
      <c r="L26" t="s">
        <v>435</v>
      </c>
      <c r="N26" t="s">
        <v>77</v>
      </c>
      <c r="O26" t="s">
        <v>436</v>
      </c>
      <c r="P26" t="s">
        <v>437</v>
      </c>
      <c r="Q26">
        <v>35</v>
      </c>
      <c r="R26" t="s">
        <v>115</v>
      </c>
      <c r="S26" t="s">
        <v>133</v>
      </c>
    </row>
    <row r="27" spans="1:19" x14ac:dyDescent="0.45">
      <c r="A27" t="s">
        <v>168</v>
      </c>
      <c r="B27" t="s">
        <v>104</v>
      </c>
      <c r="C27" t="s">
        <v>485</v>
      </c>
      <c r="D27" t="s">
        <v>54</v>
      </c>
      <c r="E27" t="s">
        <v>169</v>
      </c>
      <c r="F27" t="s">
        <v>50</v>
      </c>
      <c r="G27" t="s">
        <v>52</v>
      </c>
      <c r="H27" t="s">
        <v>119</v>
      </c>
      <c r="I27" t="s">
        <v>170</v>
      </c>
      <c r="J27" t="s">
        <v>171</v>
      </c>
      <c r="K27" t="s">
        <v>172</v>
      </c>
      <c r="L27" t="s">
        <v>173</v>
      </c>
      <c r="M27" t="s">
        <v>174</v>
      </c>
      <c r="N27" t="s">
        <v>79</v>
      </c>
      <c r="O27" t="s">
        <v>175</v>
      </c>
      <c r="P27" t="s">
        <v>176</v>
      </c>
      <c r="Q27">
        <v>35</v>
      </c>
      <c r="R27" t="s">
        <v>115</v>
      </c>
      <c r="S27" t="s">
        <v>133</v>
      </c>
    </row>
    <row r="28" spans="1:19" x14ac:dyDescent="0.45">
      <c r="A28" t="s">
        <v>265</v>
      </c>
      <c r="B28" t="s">
        <v>104</v>
      </c>
      <c r="C28" t="s">
        <v>485</v>
      </c>
      <c r="D28" t="s">
        <v>54</v>
      </c>
      <c r="E28" t="s">
        <v>266</v>
      </c>
      <c r="F28" t="s">
        <v>50</v>
      </c>
      <c r="G28" t="s">
        <v>52</v>
      </c>
      <c r="H28" t="s">
        <v>119</v>
      </c>
      <c r="I28" t="s">
        <v>267</v>
      </c>
      <c r="J28" t="s">
        <v>268</v>
      </c>
      <c r="K28" t="s">
        <v>269</v>
      </c>
      <c r="L28" t="s">
        <v>270</v>
      </c>
      <c r="M28" t="s">
        <v>271</v>
      </c>
      <c r="N28" t="s">
        <v>77</v>
      </c>
      <c r="O28" t="s">
        <v>272</v>
      </c>
      <c r="P28" t="s">
        <v>273</v>
      </c>
      <c r="Q28">
        <v>35</v>
      </c>
      <c r="R28" t="s">
        <v>115</v>
      </c>
      <c r="S28" t="s">
        <v>133</v>
      </c>
    </row>
    <row r="29" spans="1:19" x14ac:dyDescent="0.45">
      <c r="A29" t="s">
        <v>274</v>
      </c>
      <c r="B29" t="s">
        <v>104</v>
      </c>
      <c r="C29" t="s">
        <v>485</v>
      </c>
      <c r="D29" t="s">
        <v>54</v>
      </c>
      <c r="E29" t="s">
        <v>275</v>
      </c>
      <c r="F29" t="s">
        <v>49</v>
      </c>
      <c r="G29" t="s">
        <v>51</v>
      </c>
      <c r="H29" t="s">
        <v>119</v>
      </c>
      <c r="I29" t="s">
        <v>276</v>
      </c>
      <c r="J29" t="b">
        <v>1</v>
      </c>
      <c r="K29" t="b">
        <v>0</v>
      </c>
      <c r="N29" t="s">
        <v>77</v>
      </c>
      <c r="O29" t="s">
        <v>277</v>
      </c>
      <c r="P29" t="s">
        <v>278</v>
      </c>
      <c r="Q29">
        <v>25</v>
      </c>
      <c r="R29" t="s">
        <v>115</v>
      </c>
      <c r="S29" t="s">
        <v>148</v>
      </c>
    </row>
    <row r="30" spans="1:19" x14ac:dyDescent="0.45">
      <c r="A30" t="s">
        <v>297</v>
      </c>
      <c r="B30" t="s">
        <v>104</v>
      </c>
      <c r="C30" t="s">
        <v>485</v>
      </c>
      <c r="D30" t="s">
        <v>54</v>
      </c>
      <c r="E30" t="s">
        <v>298</v>
      </c>
      <c r="F30" t="s">
        <v>50</v>
      </c>
      <c r="G30" t="s">
        <v>52</v>
      </c>
      <c r="H30" t="s">
        <v>119</v>
      </c>
      <c r="I30" t="s">
        <v>299</v>
      </c>
      <c r="J30" t="s">
        <v>300</v>
      </c>
      <c r="K30" t="s">
        <v>301</v>
      </c>
      <c r="L30" t="s">
        <v>302</v>
      </c>
      <c r="M30" t="s">
        <v>303</v>
      </c>
      <c r="N30" t="s">
        <v>78</v>
      </c>
      <c r="O30" t="s">
        <v>304</v>
      </c>
      <c r="P30" t="s">
        <v>305</v>
      </c>
      <c r="Q30">
        <v>35</v>
      </c>
      <c r="R30" t="s">
        <v>115</v>
      </c>
      <c r="S30" t="s">
        <v>133</v>
      </c>
    </row>
    <row r="31" spans="1:19" x14ac:dyDescent="0.45">
      <c r="A31" t="s">
        <v>338</v>
      </c>
      <c r="B31" t="s">
        <v>104</v>
      </c>
      <c r="C31" t="s">
        <v>485</v>
      </c>
      <c r="D31" t="s">
        <v>54</v>
      </c>
      <c r="E31" t="s">
        <v>339</v>
      </c>
      <c r="F31" t="s">
        <v>49</v>
      </c>
      <c r="G31" t="s">
        <v>51</v>
      </c>
      <c r="H31" t="s">
        <v>119</v>
      </c>
      <c r="I31" t="s">
        <v>340</v>
      </c>
      <c r="J31" t="b">
        <v>1</v>
      </c>
      <c r="K31" t="b">
        <v>0</v>
      </c>
      <c r="N31" t="s">
        <v>78</v>
      </c>
      <c r="O31" t="s">
        <v>341</v>
      </c>
      <c r="P31" t="s">
        <v>342</v>
      </c>
      <c r="Q31">
        <v>25</v>
      </c>
      <c r="R31" t="s">
        <v>115</v>
      </c>
      <c r="S31" t="s">
        <v>148</v>
      </c>
    </row>
    <row r="32" spans="1:19" x14ac:dyDescent="0.45">
      <c r="A32" t="s">
        <v>367</v>
      </c>
      <c r="B32" t="s">
        <v>104</v>
      </c>
      <c r="C32" t="s">
        <v>485</v>
      </c>
      <c r="D32" t="s">
        <v>54</v>
      </c>
      <c r="E32" t="s">
        <v>368</v>
      </c>
      <c r="F32" t="s">
        <v>49</v>
      </c>
      <c r="G32" t="s">
        <v>51</v>
      </c>
      <c r="H32" t="s">
        <v>119</v>
      </c>
      <c r="I32" t="s">
        <v>369</v>
      </c>
      <c r="J32" t="b">
        <v>1</v>
      </c>
      <c r="K32" t="b">
        <v>0</v>
      </c>
      <c r="N32" t="s">
        <v>78</v>
      </c>
      <c r="O32" t="s">
        <v>370</v>
      </c>
      <c r="P32" t="s">
        <v>371</v>
      </c>
      <c r="Q32">
        <v>25</v>
      </c>
      <c r="R32" t="s">
        <v>115</v>
      </c>
      <c r="S32" t="s">
        <v>148</v>
      </c>
    </row>
    <row r="33" spans="1:19" x14ac:dyDescent="0.45">
      <c r="A33" t="s">
        <v>372</v>
      </c>
      <c r="B33" t="s">
        <v>104</v>
      </c>
      <c r="C33" t="s">
        <v>485</v>
      </c>
      <c r="D33" t="s">
        <v>54</v>
      </c>
      <c r="E33" t="s">
        <v>373</v>
      </c>
      <c r="F33" t="s">
        <v>49</v>
      </c>
      <c r="G33" t="s">
        <v>52</v>
      </c>
      <c r="H33" t="s">
        <v>119</v>
      </c>
      <c r="I33" t="s">
        <v>374</v>
      </c>
      <c r="J33" t="s">
        <v>375</v>
      </c>
      <c r="K33" t="s">
        <v>376</v>
      </c>
      <c r="L33" t="s">
        <v>377</v>
      </c>
      <c r="N33" t="s">
        <v>77</v>
      </c>
      <c r="O33" t="s">
        <v>378</v>
      </c>
      <c r="P33" t="s">
        <v>379</v>
      </c>
      <c r="Q33">
        <v>30</v>
      </c>
      <c r="R33" t="s">
        <v>115</v>
      </c>
      <c r="S33" t="s">
        <v>133</v>
      </c>
    </row>
    <row r="34" spans="1:19" x14ac:dyDescent="0.45">
      <c r="A34" t="s">
        <v>380</v>
      </c>
      <c r="B34" t="s">
        <v>104</v>
      </c>
      <c r="C34" t="s">
        <v>485</v>
      </c>
      <c r="D34" t="s">
        <v>54</v>
      </c>
      <c r="E34" t="s">
        <v>381</v>
      </c>
      <c r="F34" t="s">
        <v>49</v>
      </c>
      <c r="G34" t="s">
        <v>52</v>
      </c>
      <c r="H34" t="s">
        <v>119</v>
      </c>
      <c r="I34" t="s">
        <v>382</v>
      </c>
      <c r="J34" t="s">
        <v>383</v>
      </c>
      <c r="K34" t="s">
        <v>384</v>
      </c>
      <c r="L34" t="s">
        <v>385</v>
      </c>
      <c r="N34" t="s">
        <v>78</v>
      </c>
      <c r="O34" t="s">
        <v>386</v>
      </c>
      <c r="P34" t="s">
        <v>387</v>
      </c>
      <c r="Q34">
        <v>30</v>
      </c>
      <c r="R34" t="s">
        <v>115</v>
      </c>
      <c r="S34" t="s">
        <v>133</v>
      </c>
    </row>
    <row r="35" spans="1:19" x14ac:dyDescent="0.45">
      <c r="A35" t="s">
        <v>388</v>
      </c>
      <c r="B35" t="s">
        <v>104</v>
      </c>
      <c r="C35" t="s">
        <v>485</v>
      </c>
      <c r="D35" t="s">
        <v>54</v>
      </c>
      <c r="E35" t="s">
        <v>389</v>
      </c>
      <c r="F35" t="s">
        <v>49</v>
      </c>
      <c r="G35" t="s">
        <v>52</v>
      </c>
      <c r="H35" t="s">
        <v>119</v>
      </c>
      <c r="I35" t="s">
        <v>390</v>
      </c>
      <c r="J35" t="s">
        <v>391</v>
      </c>
      <c r="K35" t="s">
        <v>392</v>
      </c>
      <c r="L35" t="s">
        <v>393</v>
      </c>
      <c r="N35" t="s">
        <v>77</v>
      </c>
      <c r="O35" t="s">
        <v>394</v>
      </c>
      <c r="P35" t="s">
        <v>395</v>
      </c>
      <c r="Q35">
        <v>30</v>
      </c>
      <c r="R35" t="s">
        <v>115</v>
      </c>
      <c r="S35" t="s">
        <v>133</v>
      </c>
    </row>
    <row r="36" spans="1:19" x14ac:dyDescent="0.45">
      <c r="A36" t="s">
        <v>396</v>
      </c>
      <c r="B36" t="s">
        <v>104</v>
      </c>
      <c r="C36" t="s">
        <v>485</v>
      </c>
      <c r="D36" t="s">
        <v>54</v>
      </c>
      <c r="E36" t="s">
        <v>397</v>
      </c>
      <c r="F36" t="s">
        <v>49</v>
      </c>
      <c r="G36" t="s">
        <v>52</v>
      </c>
      <c r="H36" t="s">
        <v>119</v>
      </c>
      <c r="I36" t="s">
        <v>398</v>
      </c>
      <c r="J36" t="s">
        <v>399</v>
      </c>
      <c r="K36" t="s">
        <v>400</v>
      </c>
      <c r="L36" t="s">
        <v>401</v>
      </c>
      <c r="N36" t="s">
        <v>77</v>
      </c>
      <c r="O36" t="s">
        <v>402</v>
      </c>
      <c r="P36" t="s">
        <v>403</v>
      </c>
      <c r="Q36">
        <v>40</v>
      </c>
      <c r="R36" t="s">
        <v>115</v>
      </c>
      <c r="S36" t="s">
        <v>133</v>
      </c>
    </row>
    <row r="37" spans="1:19" x14ac:dyDescent="0.45">
      <c r="A37" t="s">
        <v>404</v>
      </c>
      <c r="B37" t="s">
        <v>104</v>
      </c>
      <c r="C37" t="s">
        <v>485</v>
      </c>
      <c r="D37" t="s">
        <v>54</v>
      </c>
      <c r="E37" t="s">
        <v>405</v>
      </c>
      <c r="F37" t="s">
        <v>49</v>
      </c>
      <c r="G37" t="s">
        <v>51</v>
      </c>
      <c r="H37" t="s">
        <v>119</v>
      </c>
      <c r="I37" t="s">
        <v>406</v>
      </c>
      <c r="J37" t="b">
        <v>1</v>
      </c>
      <c r="K37" t="b">
        <v>0</v>
      </c>
      <c r="N37" t="s">
        <v>78</v>
      </c>
      <c r="O37" t="s">
        <v>407</v>
      </c>
      <c r="P37" t="s">
        <v>408</v>
      </c>
      <c r="Q37">
        <v>25</v>
      </c>
      <c r="R37" t="s">
        <v>115</v>
      </c>
      <c r="S37" t="s">
        <v>148</v>
      </c>
    </row>
    <row r="38" spans="1:19" x14ac:dyDescent="0.45">
      <c r="A38" t="s">
        <v>414</v>
      </c>
      <c r="B38" t="s">
        <v>104</v>
      </c>
      <c r="C38" t="s">
        <v>485</v>
      </c>
      <c r="D38" t="s">
        <v>54</v>
      </c>
      <c r="E38" t="s">
        <v>415</v>
      </c>
      <c r="F38" t="s">
        <v>49</v>
      </c>
      <c r="G38" t="s">
        <v>52</v>
      </c>
      <c r="H38" t="s">
        <v>119</v>
      </c>
      <c r="I38" t="s">
        <v>416</v>
      </c>
      <c r="J38" t="s">
        <v>417</v>
      </c>
      <c r="K38" t="s">
        <v>418</v>
      </c>
      <c r="L38" t="s">
        <v>419</v>
      </c>
      <c r="N38" t="s">
        <v>78</v>
      </c>
      <c r="O38" t="s">
        <v>420</v>
      </c>
      <c r="P38" t="s">
        <v>421</v>
      </c>
      <c r="Q38">
        <v>35</v>
      </c>
      <c r="R38" t="s">
        <v>115</v>
      </c>
      <c r="S38" t="s">
        <v>133</v>
      </c>
    </row>
    <row r="39" spans="1:19" x14ac:dyDescent="0.45">
      <c r="A39" t="s">
        <v>438</v>
      </c>
      <c r="B39" t="s">
        <v>104</v>
      </c>
      <c r="C39" t="s">
        <v>485</v>
      </c>
      <c r="D39" t="s">
        <v>54</v>
      </c>
      <c r="E39" t="s">
        <v>439</v>
      </c>
      <c r="F39" t="s">
        <v>50</v>
      </c>
      <c r="G39" t="s">
        <v>52</v>
      </c>
      <c r="H39" t="s">
        <v>119</v>
      </c>
      <c r="I39" t="s">
        <v>440</v>
      </c>
      <c r="J39" t="s">
        <v>441</v>
      </c>
      <c r="K39" t="s">
        <v>442</v>
      </c>
      <c r="L39" t="s">
        <v>443</v>
      </c>
      <c r="N39" t="s">
        <v>77</v>
      </c>
      <c r="O39" t="s">
        <v>444</v>
      </c>
      <c r="P39" t="s">
        <v>445</v>
      </c>
      <c r="Q39">
        <v>40</v>
      </c>
      <c r="R39" t="s">
        <v>115</v>
      </c>
      <c r="S39" t="s">
        <v>133</v>
      </c>
    </row>
    <row r="40" spans="1:19" x14ac:dyDescent="0.45">
      <c r="A40" t="s">
        <v>446</v>
      </c>
      <c r="B40" t="s">
        <v>104</v>
      </c>
      <c r="C40" t="s">
        <v>485</v>
      </c>
      <c r="D40" t="s">
        <v>54</v>
      </c>
      <c r="E40" t="s">
        <v>447</v>
      </c>
      <c r="F40" t="s">
        <v>50</v>
      </c>
      <c r="G40" t="s">
        <v>52</v>
      </c>
      <c r="H40" t="s">
        <v>119</v>
      </c>
      <c r="I40" t="s">
        <v>448</v>
      </c>
      <c r="J40" t="s">
        <v>449</v>
      </c>
      <c r="K40" t="s">
        <v>450</v>
      </c>
      <c r="L40" t="s">
        <v>451</v>
      </c>
      <c r="N40" t="s">
        <v>77</v>
      </c>
      <c r="O40" t="s">
        <v>452</v>
      </c>
      <c r="P40" t="s">
        <v>453</v>
      </c>
      <c r="Q40">
        <v>45</v>
      </c>
      <c r="R40" t="s">
        <v>115</v>
      </c>
      <c r="S40" t="s">
        <v>133</v>
      </c>
    </row>
    <row r="41" spans="1:19" x14ac:dyDescent="0.45">
      <c r="A41" t="s">
        <v>454</v>
      </c>
      <c r="B41" t="s">
        <v>104</v>
      </c>
      <c r="C41" t="s">
        <v>485</v>
      </c>
      <c r="D41" t="s">
        <v>54</v>
      </c>
      <c r="E41" t="s">
        <v>455</v>
      </c>
      <c r="F41" t="s">
        <v>50</v>
      </c>
      <c r="G41" t="s">
        <v>52</v>
      </c>
      <c r="H41" t="s">
        <v>119</v>
      </c>
      <c r="I41" t="s">
        <v>456</v>
      </c>
      <c r="J41" t="s">
        <v>457</v>
      </c>
      <c r="K41" t="s">
        <v>458</v>
      </c>
      <c r="L41" t="s">
        <v>459</v>
      </c>
      <c r="N41" t="s">
        <v>78</v>
      </c>
      <c r="O41" t="s">
        <v>460</v>
      </c>
      <c r="P41" t="s">
        <v>461</v>
      </c>
      <c r="Q41">
        <v>45</v>
      </c>
      <c r="R41" t="s">
        <v>115</v>
      </c>
      <c r="S41" t="s">
        <v>133</v>
      </c>
    </row>
    <row r="42" spans="1:19" x14ac:dyDescent="0.45">
      <c r="A42" t="s">
        <v>462</v>
      </c>
      <c r="B42" t="s">
        <v>104</v>
      </c>
      <c r="C42" t="s">
        <v>485</v>
      </c>
      <c r="D42" t="s">
        <v>54</v>
      </c>
      <c r="E42" t="s">
        <v>463</v>
      </c>
      <c r="F42" t="s">
        <v>49</v>
      </c>
      <c r="G42" t="s">
        <v>52</v>
      </c>
      <c r="H42" t="s">
        <v>119</v>
      </c>
      <c r="I42" t="s">
        <v>464</v>
      </c>
      <c r="J42" t="s">
        <v>465</v>
      </c>
      <c r="K42" t="s">
        <v>466</v>
      </c>
      <c r="L42" t="s">
        <v>467</v>
      </c>
      <c r="N42" t="s">
        <v>77</v>
      </c>
      <c r="O42" t="s">
        <v>468</v>
      </c>
      <c r="P42" t="s">
        <v>469</v>
      </c>
      <c r="Q42">
        <v>40</v>
      </c>
      <c r="R42" t="s">
        <v>115</v>
      </c>
      <c r="S42" t="s">
        <v>133</v>
      </c>
    </row>
    <row r="43" spans="1:19" x14ac:dyDescent="0.45">
      <c r="A43" t="s">
        <v>200</v>
      </c>
      <c r="B43" t="s">
        <v>104</v>
      </c>
      <c r="C43" t="s">
        <v>486</v>
      </c>
      <c r="D43" t="s">
        <v>27</v>
      </c>
      <c r="E43" t="s">
        <v>201</v>
      </c>
      <c r="F43" t="s">
        <v>49</v>
      </c>
      <c r="G43" t="s">
        <v>51</v>
      </c>
      <c r="H43" t="s">
        <v>119</v>
      </c>
      <c r="I43" t="s">
        <v>202</v>
      </c>
      <c r="J43" t="s">
        <v>203</v>
      </c>
      <c r="K43" t="s">
        <v>204</v>
      </c>
      <c r="L43" t="s">
        <v>205</v>
      </c>
      <c r="M43" t="s">
        <v>206</v>
      </c>
      <c r="N43" t="s">
        <v>77</v>
      </c>
      <c r="O43" t="s">
        <v>207</v>
      </c>
      <c r="P43" t="s">
        <v>208</v>
      </c>
      <c r="Q43">
        <v>30</v>
      </c>
      <c r="R43" t="s">
        <v>115</v>
      </c>
      <c r="S43" t="s">
        <v>133</v>
      </c>
    </row>
    <row r="44" spans="1:19" x14ac:dyDescent="0.45">
      <c r="A44" t="s">
        <v>209</v>
      </c>
      <c r="B44" t="s">
        <v>104</v>
      </c>
      <c r="C44" t="s">
        <v>486</v>
      </c>
      <c r="D44" t="s">
        <v>27</v>
      </c>
      <c r="E44" t="s">
        <v>210</v>
      </c>
      <c r="F44" t="s">
        <v>49</v>
      </c>
      <c r="G44" t="s">
        <v>52</v>
      </c>
      <c r="H44" t="s">
        <v>119</v>
      </c>
      <c r="I44" t="s">
        <v>211</v>
      </c>
      <c r="J44" t="b">
        <v>1</v>
      </c>
      <c r="K44" t="b">
        <v>0</v>
      </c>
      <c r="N44" t="s">
        <v>77</v>
      </c>
      <c r="O44" t="s">
        <v>212</v>
      </c>
      <c r="P44" t="s">
        <v>213</v>
      </c>
      <c r="Q44">
        <v>30</v>
      </c>
      <c r="R44" t="s">
        <v>115</v>
      </c>
      <c r="S44" t="s">
        <v>148</v>
      </c>
    </row>
    <row r="45" spans="1:19" x14ac:dyDescent="0.45">
      <c r="A45" t="s">
        <v>232</v>
      </c>
      <c r="B45" t="s">
        <v>104</v>
      </c>
      <c r="C45" t="s">
        <v>486</v>
      </c>
      <c r="D45" t="s">
        <v>27</v>
      </c>
      <c r="E45" t="s">
        <v>233</v>
      </c>
      <c r="F45" t="s">
        <v>50</v>
      </c>
      <c r="G45" t="s">
        <v>52</v>
      </c>
      <c r="H45" t="s">
        <v>119</v>
      </c>
      <c r="I45" t="s">
        <v>234</v>
      </c>
      <c r="J45" t="s">
        <v>235</v>
      </c>
      <c r="K45" t="s">
        <v>236</v>
      </c>
      <c r="L45" t="s">
        <v>237</v>
      </c>
      <c r="M45" t="s">
        <v>238</v>
      </c>
      <c r="N45" t="s">
        <v>77</v>
      </c>
      <c r="O45" t="s">
        <v>239</v>
      </c>
      <c r="P45" t="s">
        <v>240</v>
      </c>
      <c r="Q45">
        <v>35</v>
      </c>
      <c r="R45" t="s">
        <v>115</v>
      </c>
      <c r="S45" t="s">
        <v>133</v>
      </c>
    </row>
    <row r="46" spans="1:19" x14ac:dyDescent="0.45">
      <c r="A46" t="s">
        <v>311</v>
      </c>
      <c r="B46" t="s">
        <v>104</v>
      </c>
      <c r="C46" t="s">
        <v>486</v>
      </c>
      <c r="D46" t="s">
        <v>27</v>
      </c>
      <c r="E46" t="s">
        <v>312</v>
      </c>
      <c r="F46" t="s">
        <v>49</v>
      </c>
      <c r="G46" t="s">
        <v>51</v>
      </c>
      <c r="H46" t="s">
        <v>119</v>
      </c>
      <c r="I46" t="s">
        <v>313</v>
      </c>
      <c r="J46" t="s">
        <v>314</v>
      </c>
      <c r="K46" t="s">
        <v>315</v>
      </c>
      <c r="L46" t="s">
        <v>316</v>
      </c>
      <c r="M46" t="s">
        <v>317</v>
      </c>
      <c r="N46" t="s">
        <v>78</v>
      </c>
      <c r="O46" t="s">
        <v>318</v>
      </c>
      <c r="P46" t="s">
        <v>319</v>
      </c>
      <c r="Q46">
        <v>30</v>
      </c>
      <c r="R46" t="s">
        <v>115</v>
      </c>
      <c r="S46" t="s">
        <v>133</v>
      </c>
    </row>
    <row r="47" spans="1:19" x14ac:dyDescent="0.45">
      <c r="A47" t="s">
        <v>333</v>
      </c>
      <c r="B47" t="s">
        <v>104</v>
      </c>
      <c r="C47" t="s">
        <v>486</v>
      </c>
      <c r="D47" t="s">
        <v>27</v>
      </c>
      <c r="E47" t="s">
        <v>334</v>
      </c>
      <c r="F47" t="s">
        <v>49</v>
      </c>
      <c r="G47" t="s">
        <v>51</v>
      </c>
      <c r="H47" t="s">
        <v>119</v>
      </c>
      <c r="I47" t="s">
        <v>335</v>
      </c>
      <c r="J47" t="b">
        <v>1</v>
      </c>
      <c r="K47" t="b">
        <v>0</v>
      </c>
      <c r="N47" t="s">
        <v>78</v>
      </c>
      <c r="O47" t="s">
        <v>336</v>
      </c>
      <c r="P47" t="s">
        <v>337</v>
      </c>
      <c r="Q47">
        <v>25</v>
      </c>
      <c r="R47" t="s">
        <v>115</v>
      </c>
      <c r="S47" t="s">
        <v>148</v>
      </c>
    </row>
    <row r="48" spans="1:19" x14ac:dyDescent="0.45">
      <c r="A48" t="s">
        <v>470</v>
      </c>
      <c r="B48" t="s">
        <v>104</v>
      </c>
      <c r="C48" t="s">
        <v>487</v>
      </c>
      <c r="D48" t="s">
        <v>30</v>
      </c>
      <c r="E48" t="s">
        <v>471</v>
      </c>
      <c r="F48" t="s">
        <v>50</v>
      </c>
      <c r="G48" t="s">
        <v>52</v>
      </c>
      <c r="H48" t="s">
        <v>119</v>
      </c>
      <c r="I48" t="s">
        <v>472</v>
      </c>
      <c r="J48" t="s">
        <v>473</v>
      </c>
      <c r="K48" t="s">
        <v>474</v>
      </c>
      <c r="L48" t="s">
        <v>475</v>
      </c>
      <c r="N48" t="s">
        <v>77</v>
      </c>
      <c r="O48" t="s">
        <v>476</v>
      </c>
      <c r="P48" t="s">
        <v>477</v>
      </c>
      <c r="Q48">
        <v>35</v>
      </c>
      <c r="R48" t="s">
        <v>115</v>
      </c>
      <c r="S48" t="s">
        <v>133</v>
      </c>
    </row>
    <row r="49" spans="1:19" x14ac:dyDescent="0.45">
      <c r="A49" t="s">
        <v>343</v>
      </c>
      <c r="B49" t="s">
        <v>104</v>
      </c>
      <c r="C49" t="s">
        <v>13</v>
      </c>
      <c r="D49" t="s">
        <v>344</v>
      </c>
      <c r="E49" t="s">
        <v>345</v>
      </c>
      <c r="F49" t="s">
        <v>49</v>
      </c>
      <c r="G49" t="s">
        <v>51</v>
      </c>
      <c r="H49" t="s">
        <v>119</v>
      </c>
      <c r="I49" t="s">
        <v>346</v>
      </c>
      <c r="J49" t="b">
        <v>1</v>
      </c>
      <c r="K49" t="b">
        <v>0</v>
      </c>
      <c r="N49" t="s">
        <v>78</v>
      </c>
      <c r="O49" t="s">
        <v>347</v>
      </c>
      <c r="P49" t="s">
        <v>348</v>
      </c>
      <c r="Q49">
        <v>25</v>
      </c>
      <c r="R49" t="s">
        <v>115</v>
      </c>
      <c r="S49" t="s">
        <v>148</v>
      </c>
    </row>
    <row r="50" spans="1:19" x14ac:dyDescent="0.45">
      <c r="A50" t="s">
        <v>422</v>
      </c>
      <c r="B50" t="s">
        <v>104</v>
      </c>
      <c r="C50" t="s">
        <v>13</v>
      </c>
      <c r="D50" t="s">
        <v>344</v>
      </c>
      <c r="E50" t="s">
        <v>423</v>
      </c>
      <c r="F50" t="s">
        <v>49</v>
      </c>
      <c r="G50" t="s">
        <v>52</v>
      </c>
      <c r="H50" t="s">
        <v>119</v>
      </c>
      <c r="I50" t="s">
        <v>424</v>
      </c>
      <c r="J50" t="s">
        <v>425</v>
      </c>
      <c r="K50" t="s">
        <v>426</v>
      </c>
      <c r="L50" t="s">
        <v>427</v>
      </c>
      <c r="N50" t="s">
        <v>77</v>
      </c>
      <c r="O50" t="s">
        <v>428</v>
      </c>
      <c r="P50" t="s">
        <v>429</v>
      </c>
      <c r="Q50">
        <v>35</v>
      </c>
      <c r="R50" t="s">
        <v>115</v>
      </c>
      <c r="S50" t="s">
        <v>133</v>
      </c>
    </row>
    <row r="51" spans="1:19" x14ac:dyDescent="0.45">
      <c r="A51" t="s">
        <v>478</v>
      </c>
      <c r="B51" t="s">
        <v>104</v>
      </c>
      <c r="C51" t="s">
        <v>13</v>
      </c>
      <c r="D51" t="s">
        <v>344</v>
      </c>
      <c r="E51" t="s">
        <v>479</v>
      </c>
      <c r="F51" t="s">
        <v>49</v>
      </c>
      <c r="G51" t="s">
        <v>51</v>
      </c>
      <c r="H51" t="s">
        <v>119</v>
      </c>
      <c r="I51" t="s">
        <v>480</v>
      </c>
      <c r="J51" t="b">
        <v>1</v>
      </c>
      <c r="K51" t="b">
        <v>0</v>
      </c>
      <c r="N51" t="s">
        <v>78</v>
      </c>
      <c r="O51" t="s">
        <v>481</v>
      </c>
      <c r="P51" t="s">
        <v>482</v>
      </c>
      <c r="Q51">
        <v>25</v>
      </c>
      <c r="R51" t="s">
        <v>115</v>
      </c>
      <c r="S51" t="s">
        <v>148</v>
      </c>
    </row>
  </sheetData>
  <autoFilter ref="A1:S51" xr:uid="{72E9BBC2-F56C-4388-8A4E-7CCA7938065D}">
    <sortState xmlns:xlrd2="http://schemas.microsoft.com/office/spreadsheetml/2017/richdata2" ref="A2:S51">
      <sortCondition ref="C1:C5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/>
  </sheetViews>
  <sheetFormatPr baseColWidth="10" defaultColWidth="9.06640625" defaultRowHeight="14.25" x14ac:dyDescent="0.45"/>
  <cols>
    <col min="1" max="1" width="13.59765625" bestFit="1" customWidth="1"/>
  </cols>
  <sheetData>
    <row r="1" spans="1:3" x14ac:dyDescent="0.45">
      <c r="A1" s="1" t="s">
        <v>53</v>
      </c>
      <c r="B1" s="1" t="s">
        <v>0</v>
      </c>
      <c r="C1" s="1" t="s">
        <v>1</v>
      </c>
    </row>
    <row r="2" spans="1:3" x14ac:dyDescent="0.45">
      <c r="A2">
        <v>1</v>
      </c>
      <c r="B2" t="s">
        <v>4</v>
      </c>
      <c r="C2" t="s">
        <v>18</v>
      </c>
    </row>
    <row r="3" spans="1:3" x14ac:dyDescent="0.45">
      <c r="A3">
        <v>2</v>
      </c>
      <c r="B3" t="s">
        <v>4</v>
      </c>
      <c r="C3" t="s">
        <v>18</v>
      </c>
    </row>
    <row r="4" spans="1:3" x14ac:dyDescent="0.45">
      <c r="A4">
        <v>3</v>
      </c>
      <c r="B4" t="s">
        <v>5</v>
      </c>
      <c r="C4" t="s">
        <v>19</v>
      </c>
    </row>
    <row r="5" spans="1:3" x14ac:dyDescent="0.45">
      <c r="A5">
        <v>4</v>
      </c>
      <c r="B5" t="s">
        <v>5</v>
      </c>
      <c r="C5" t="s">
        <v>19</v>
      </c>
    </row>
    <row r="6" spans="1:3" x14ac:dyDescent="0.45">
      <c r="A6">
        <v>5</v>
      </c>
      <c r="B6" t="s">
        <v>5</v>
      </c>
      <c r="C6" t="s">
        <v>19</v>
      </c>
    </row>
    <row r="7" spans="1:3" x14ac:dyDescent="0.45">
      <c r="A7">
        <v>6</v>
      </c>
      <c r="B7" t="s">
        <v>5</v>
      </c>
      <c r="C7" t="s">
        <v>19</v>
      </c>
    </row>
    <row r="8" spans="1:3" x14ac:dyDescent="0.45">
      <c r="A8">
        <v>7</v>
      </c>
      <c r="B8" t="s">
        <v>6</v>
      </c>
      <c r="C8" t="s">
        <v>20</v>
      </c>
    </row>
    <row r="9" spans="1:3" x14ac:dyDescent="0.45">
      <c r="A9">
        <v>8</v>
      </c>
      <c r="B9" t="s">
        <v>6</v>
      </c>
      <c r="C9" t="s">
        <v>20</v>
      </c>
    </row>
    <row r="10" spans="1:3" x14ac:dyDescent="0.45">
      <c r="A10">
        <v>9</v>
      </c>
      <c r="B10" t="s">
        <v>7</v>
      </c>
      <c r="C10" t="s">
        <v>21</v>
      </c>
    </row>
    <row r="11" spans="1:3" x14ac:dyDescent="0.45">
      <c r="A11">
        <v>10</v>
      </c>
      <c r="B11" t="s">
        <v>7</v>
      </c>
      <c r="C11" t="s">
        <v>21</v>
      </c>
    </row>
    <row r="12" spans="1:3" x14ac:dyDescent="0.45">
      <c r="A12">
        <v>11</v>
      </c>
      <c r="B12" t="s">
        <v>7</v>
      </c>
      <c r="C12" t="s">
        <v>21</v>
      </c>
    </row>
    <row r="13" spans="1:3" x14ac:dyDescent="0.45">
      <c r="A13">
        <v>12</v>
      </c>
      <c r="B13" t="s">
        <v>7</v>
      </c>
      <c r="C13" t="s">
        <v>21</v>
      </c>
    </row>
    <row r="14" spans="1:3" x14ac:dyDescent="0.45">
      <c r="A14">
        <v>13</v>
      </c>
      <c r="B14" t="s">
        <v>7</v>
      </c>
      <c r="C14" t="s">
        <v>21</v>
      </c>
    </row>
    <row r="15" spans="1:3" x14ac:dyDescent="0.45">
      <c r="A15">
        <v>13</v>
      </c>
      <c r="B15" t="s">
        <v>5</v>
      </c>
      <c r="C15" t="s">
        <v>19</v>
      </c>
    </row>
    <row r="16" spans="1:3" x14ac:dyDescent="0.45">
      <c r="A16">
        <v>14</v>
      </c>
      <c r="B16" t="s">
        <v>7</v>
      </c>
      <c r="C16" t="s">
        <v>21</v>
      </c>
    </row>
    <row r="17" spans="1:3" x14ac:dyDescent="0.45">
      <c r="A17">
        <v>15</v>
      </c>
      <c r="B17" t="s">
        <v>8</v>
      </c>
      <c r="C17" t="s">
        <v>22</v>
      </c>
    </row>
    <row r="18" spans="1:3" x14ac:dyDescent="0.45">
      <c r="A18">
        <v>16</v>
      </c>
      <c r="B18" t="s">
        <v>8</v>
      </c>
      <c r="C18" t="s">
        <v>22</v>
      </c>
    </row>
    <row r="19" spans="1:3" x14ac:dyDescent="0.45">
      <c r="A19">
        <v>19</v>
      </c>
      <c r="B19" t="s">
        <v>8</v>
      </c>
      <c r="C19" t="s">
        <v>22</v>
      </c>
    </row>
    <row r="20" spans="1:3" x14ac:dyDescent="0.45">
      <c r="A20">
        <v>20</v>
      </c>
      <c r="B20" t="s">
        <v>8</v>
      </c>
      <c r="C20" t="s">
        <v>22</v>
      </c>
    </row>
    <row r="21" spans="1:3" x14ac:dyDescent="0.45">
      <c r="A21">
        <v>21</v>
      </c>
      <c r="B21" t="s">
        <v>9</v>
      </c>
      <c r="C21" t="s">
        <v>23</v>
      </c>
    </row>
    <row r="22" spans="1:3" x14ac:dyDescent="0.45">
      <c r="A22">
        <v>22</v>
      </c>
      <c r="B22" t="s">
        <v>9</v>
      </c>
      <c r="C22" t="s">
        <v>23</v>
      </c>
    </row>
    <row r="23" spans="1:3" x14ac:dyDescent="0.45">
      <c r="A23">
        <v>24</v>
      </c>
      <c r="B23" t="s">
        <v>9</v>
      </c>
      <c r="C23" t="s">
        <v>23</v>
      </c>
    </row>
    <row r="24" spans="1:3" x14ac:dyDescent="0.45">
      <c r="A24">
        <v>25</v>
      </c>
      <c r="B24" t="s">
        <v>9</v>
      </c>
      <c r="C24" t="s">
        <v>23</v>
      </c>
    </row>
    <row r="25" spans="1:3" x14ac:dyDescent="0.45">
      <c r="A25">
        <v>28</v>
      </c>
      <c r="B25" t="s">
        <v>10</v>
      </c>
      <c r="C25" t="s">
        <v>24</v>
      </c>
    </row>
    <row r="26" spans="1:3" x14ac:dyDescent="0.45">
      <c r="A26">
        <v>29</v>
      </c>
      <c r="B26" t="s">
        <v>10</v>
      </c>
      <c r="C26" t="s">
        <v>24</v>
      </c>
    </row>
    <row r="27" spans="1:3" x14ac:dyDescent="0.45">
      <c r="A27">
        <v>30</v>
      </c>
      <c r="B27" t="s">
        <v>11</v>
      </c>
      <c r="C27" t="s">
        <v>25</v>
      </c>
    </row>
    <row r="28" spans="1:3" x14ac:dyDescent="0.45">
      <c r="A28">
        <v>31</v>
      </c>
      <c r="B28" t="s">
        <v>11</v>
      </c>
      <c r="C28" t="s">
        <v>25</v>
      </c>
    </row>
    <row r="29" spans="1:3" x14ac:dyDescent="0.45">
      <c r="A29">
        <v>32</v>
      </c>
      <c r="B29" t="s">
        <v>11</v>
      </c>
      <c r="C29" t="s">
        <v>25</v>
      </c>
    </row>
    <row r="30" spans="1:3" x14ac:dyDescent="0.45">
      <c r="A30">
        <v>33</v>
      </c>
      <c r="B30" t="s">
        <v>11</v>
      </c>
      <c r="C30" t="s">
        <v>25</v>
      </c>
    </row>
    <row r="31" spans="1:3" x14ac:dyDescent="0.45">
      <c r="A31">
        <v>34</v>
      </c>
      <c r="B31" t="s">
        <v>11</v>
      </c>
      <c r="C31" t="s">
        <v>25</v>
      </c>
    </row>
    <row r="32" spans="1:3" x14ac:dyDescent="0.45">
      <c r="A32">
        <v>35</v>
      </c>
      <c r="B32" t="s">
        <v>11</v>
      </c>
      <c r="C32" t="s">
        <v>25</v>
      </c>
    </row>
    <row r="33" spans="1:3" x14ac:dyDescent="0.45">
      <c r="A33">
        <v>36</v>
      </c>
      <c r="B33" t="s">
        <v>10</v>
      </c>
      <c r="C33" t="s">
        <v>24</v>
      </c>
    </row>
    <row r="34" spans="1:3" x14ac:dyDescent="0.45">
      <c r="A34">
        <v>43</v>
      </c>
      <c r="B34" t="s">
        <v>10</v>
      </c>
      <c r="C34" t="s">
        <v>24</v>
      </c>
    </row>
    <row r="35" spans="1:3" x14ac:dyDescent="0.45">
      <c r="A35">
        <v>44</v>
      </c>
      <c r="B35" t="s">
        <v>10</v>
      </c>
      <c r="C35" t="s">
        <v>24</v>
      </c>
    </row>
    <row r="36" spans="1:3" x14ac:dyDescent="0.45">
      <c r="A36">
        <v>45</v>
      </c>
      <c r="B36" t="s">
        <v>10</v>
      </c>
      <c r="C36" t="s">
        <v>24</v>
      </c>
    </row>
    <row r="37" spans="1:3" x14ac:dyDescent="0.45">
      <c r="A37">
        <v>46</v>
      </c>
      <c r="B37" t="s">
        <v>12</v>
      </c>
      <c r="C37" t="s">
        <v>26</v>
      </c>
    </row>
    <row r="38" spans="1:3" x14ac:dyDescent="0.45">
      <c r="A38">
        <v>47</v>
      </c>
      <c r="B38" t="s">
        <v>12</v>
      </c>
      <c r="C38" t="s">
        <v>26</v>
      </c>
    </row>
    <row r="39" spans="1:3" x14ac:dyDescent="0.45">
      <c r="A39">
        <v>48</v>
      </c>
      <c r="B39" t="s">
        <v>12</v>
      </c>
      <c r="C39" t="s">
        <v>26</v>
      </c>
    </row>
    <row r="40" spans="1:3" x14ac:dyDescent="0.45">
      <c r="A40">
        <v>49</v>
      </c>
      <c r="B40" t="s">
        <v>12</v>
      </c>
      <c r="C40" t="s">
        <v>26</v>
      </c>
    </row>
    <row r="41" spans="1:3" x14ac:dyDescent="0.45">
      <c r="A41">
        <v>50</v>
      </c>
      <c r="B41" t="s">
        <v>12</v>
      </c>
      <c r="C41" t="s">
        <v>26</v>
      </c>
    </row>
    <row r="42" spans="1:3" x14ac:dyDescent="0.45">
      <c r="A42">
        <v>51</v>
      </c>
      <c r="B42" t="s">
        <v>12</v>
      </c>
      <c r="C42" t="s">
        <v>26</v>
      </c>
    </row>
    <row r="43" spans="1:3" x14ac:dyDescent="0.45">
      <c r="A43">
        <v>52</v>
      </c>
      <c r="B43" t="s">
        <v>13</v>
      </c>
      <c r="C43" t="s">
        <v>27</v>
      </c>
    </row>
    <row r="44" spans="1:3" x14ac:dyDescent="0.45">
      <c r="A44">
        <v>53</v>
      </c>
      <c r="B44" t="s">
        <v>13</v>
      </c>
      <c r="C44" t="s">
        <v>27</v>
      </c>
    </row>
    <row r="45" spans="1:3" x14ac:dyDescent="0.45">
      <c r="A45">
        <v>54</v>
      </c>
      <c r="B45" t="s">
        <v>13</v>
      </c>
      <c r="C45" t="s">
        <v>27</v>
      </c>
    </row>
    <row r="46" spans="1:3" x14ac:dyDescent="0.45">
      <c r="A46">
        <v>55</v>
      </c>
      <c r="B46" t="s">
        <v>13</v>
      </c>
      <c r="C46" t="s">
        <v>27</v>
      </c>
    </row>
    <row r="47" spans="1:3" x14ac:dyDescent="0.45">
      <c r="A47">
        <v>56</v>
      </c>
      <c r="B47" t="s">
        <v>14</v>
      </c>
      <c r="C47" t="s">
        <v>28</v>
      </c>
    </row>
    <row r="48" spans="1:3" x14ac:dyDescent="0.45">
      <c r="A48">
        <v>57</v>
      </c>
      <c r="B48" t="s">
        <v>14</v>
      </c>
      <c r="C48" t="s">
        <v>28</v>
      </c>
    </row>
    <row r="49" spans="1:3" x14ac:dyDescent="0.45">
      <c r="A49">
        <v>58</v>
      </c>
      <c r="B49" t="s">
        <v>14</v>
      </c>
      <c r="C49" t="s">
        <v>28</v>
      </c>
    </row>
    <row r="50" spans="1:3" x14ac:dyDescent="0.45">
      <c r="A50">
        <v>59</v>
      </c>
      <c r="B50" t="s">
        <v>15</v>
      </c>
      <c r="C50" t="s">
        <v>29</v>
      </c>
    </row>
    <row r="51" spans="1:3" x14ac:dyDescent="0.45">
      <c r="A51">
        <v>60</v>
      </c>
      <c r="B51" t="s">
        <v>15</v>
      </c>
      <c r="C51" t="s">
        <v>29</v>
      </c>
    </row>
    <row r="52" spans="1:3" x14ac:dyDescent="0.45">
      <c r="A52">
        <v>61</v>
      </c>
      <c r="B52" t="s">
        <v>16</v>
      </c>
      <c r="C52" t="s">
        <v>30</v>
      </c>
    </row>
    <row r="53" spans="1:3" x14ac:dyDescent="0.45">
      <c r="A53">
        <v>62</v>
      </c>
      <c r="B53" t="s">
        <v>16</v>
      </c>
      <c r="C53" t="s">
        <v>30</v>
      </c>
    </row>
    <row r="54" spans="1:3" x14ac:dyDescent="0.45">
      <c r="A54">
        <v>63</v>
      </c>
      <c r="B54" t="s">
        <v>16</v>
      </c>
      <c r="C54" t="s">
        <v>30</v>
      </c>
    </row>
    <row r="55" spans="1:3" x14ac:dyDescent="0.45">
      <c r="A55">
        <v>64</v>
      </c>
      <c r="B55" t="s">
        <v>16</v>
      </c>
      <c r="C55" t="s">
        <v>30</v>
      </c>
    </row>
    <row r="56" spans="1:3" x14ac:dyDescent="0.45">
      <c r="A56">
        <v>65</v>
      </c>
      <c r="B56" t="s">
        <v>16</v>
      </c>
      <c r="C56" t="s">
        <v>30</v>
      </c>
    </row>
    <row r="57" spans="1:3" x14ac:dyDescent="0.45">
      <c r="A57">
        <v>66</v>
      </c>
      <c r="B57" t="s">
        <v>17</v>
      </c>
      <c r="C57" t="s">
        <v>31</v>
      </c>
    </row>
    <row r="58" spans="1:3" x14ac:dyDescent="0.45">
      <c r="A58">
        <v>67</v>
      </c>
      <c r="B58" t="s">
        <v>17</v>
      </c>
      <c r="C58" t="s">
        <v>31</v>
      </c>
    </row>
    <row r="59" spans="1:3" x14ac:dyDescent="0.45">
      <c r="A59">
        <v>68</v>
      </c>
      <c r="B59" t="s">
        <v>17</v>
      </c>
      <c r="C59" t="s">
        <v>31</v>
      </c>
    </row>
    <row r="60" spans="1:3" x14ac:dyDescent="0.45">
      <c r="A60">
        <v>69</v>
      </c>
      <c r="B60" t="s">
        <v>17</v>
      </c>
      <c r="C60" t="s">
        <v>31</v>
      </c>
    </row>
    <row r="61" spans="1:3" x14ac:dyDescent="0.45">
      <c r="A61">
        <v>70</v>
      </c>
      <c r="B61" t="s">
        <v>17</v>
      </c>
      <c r="C6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Dimensiones</vt:lpstr>
      <vt:lpstr>Blueprint</vt:lpstr>
      <vt:lpstr>Hoja3</vt:lpstr>
      <vt:lpstr>Registro de Items</vt:lpstr>
      <vt:lpstr>Mapa_Anexo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Camila Utreras</cp:lastModifiedBy>
  <dcterms:created xsi:type="dcterms:W3CDTF">2025-09-11T15:05:59Z</dcterms:created>
  <dcterms:modified xsi:type="dcterms:W3CDTF">2025-09-11T17:38:54Z</dcterms:modified>
</cp:coreProperties>
</file>