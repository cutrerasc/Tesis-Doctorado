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Participantes/"/>
    </mc:Choice>
  </mc:AlternateContent>
  <xr:revisionPtr revIDLastSave="8" documentId="13_ncr:1_{61D21EB2-B7B0-44A3-877B-0FA3A21A237E}" xr6:coauthVersionLast="47" xr6:coauthVersionMax="47" xr10:uidLastSave="{D08393AA-C43B-4AC5-B233-CDB509568380}"/>
  <bookViews>
    <workbookView xWindow="-98" yWindow="-98" windowWidth="21795" windowHeight="12975" firstSheet="1" activeTab="6" xr2:uid="{00000000-000D-0000-FFFF-FFFF00000000}"/>
  </bookViews>
  <sheets>
    <sheet name="Lunes PM" sheetId="3" r:id="rId1"/>
    <sheet name="Martes AM" sheetId="4" r:id="rId2"/>
    <sheet name="Lunes AM" sheetId="5" r:id="rId3"/>
    <sheet name="Martes PM" sheetId="6" r:id="rId4"/>
    <sheet name="Hoja1" sheetId="2" r:id="rId5"/>
    <sheet name="Sheet0" sheetId="1" r:id="rId6"/>
    <sheet name="ConvocadosConfirmados" sheetId="7" r:id="rId7"/>
  </sheets>
  <definedNames>
    <definedName name="_xlnm._FilterDatabase" localSheetId="6" hidden="1">ConvocadosConfirmados!$A$1:$H$31</definedName>
    <definedName name="_xlnm._FilterDatabase" localSheetId="5" hidden="1">Sheet0!$A$2:$F$37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7" l="1"/>
  <c r="J35" i="7"/>
  <c r="H8" i="7"/>
  <c r="H22" i="7"/>
  <c r="H16" i="7"/>
  <c r="H2" i="7"/>
</calcChain>
</file>

<file path=xl/sharedStrings.xml><?xml version="1.0" encoding="utf-8"?>
<sst xmlns="http://schemas.openxmlformats.org/spreadsheetml/2006/main" count="546" uniqueCount="142">
  <si>
    <t>Nombre</t>
  </si>
  <si>
    <t>Rut</t>
  </si>
  <si>
    <t>Fono</t>
  </si>
  <si>
    <t>Mail</t>
  </si>
  <si>
    <t>Carrera</t>
  </si>
  <si>
    <t>Horario</t>
  </si>
  <si>
    <t>Nombre y Apellidos</t>
  </si>
  <si>
    <t>Rut ejemplo: 12.345.678-9</t>
  </si>
  <si>
    <t>Teléfono ejemplo: 987654321</t>
  </si>
  <si>
    <t>Correo electrónico</t>
  </si>
  <si>
    <t>Selecciona los horarios donde tienes disponibilidad para participar, recuerda que la actividad tendrá una duración aproximada de 120 minutos:</t>
  </si>
  <si>
    <t>Clemente Lagos</t>
  </si>
  <si>
    <t>20755838-9</t>
  </si>
  <si>
    <t>Lagosclemente@gmail.com</t>
  </si>
  <si>
    <t>Derecho</t>
  </si>
  <si>
    <t>Lucas Carvacho</t>
  </si>
  <si>
    <t>20.831.075-5</t>
  </si>
  <si>
    <t>Lcarvachov@udd.cl</t>
  </si>
  <si>
    <t>Priscila Becerra</t>
  </si>
  <si>
    <t>217712318</t>
  </si>
  <si>
    <t>P.becerrat@udd.cl</t>
  </si>
  <si>
    <t xml:space="preserve">Tecnología médica </t>
  </si>
  <si>
    <t xml:space="preserve">Gabriela Rangel </t>
  </si>
  <si>
    <t xml:space="preserve">25840423-8 </t>
  </si>
  <si>
    <t>g.rangels@udd.cl</t>
  </si>
  <si>
    <t>Cine</t>
  </si>
  <si>
    <t>Martes 25 de noviembre 14:30 - 16:30</t>
  </si>
  <si>
    <t>Guillermo Núñez Rodríguez</t>
  </si>
  <si>
    <t>17593064-7</t>
  </si>
  <si>
    <t>Gununezr@udd.cl</t>
  </si>
  <si>
    <t>Kinesiología</t>
  </si>
  <si>
    <t>Benjamín Jerez</t>
  </si>
  <si>
    <t>21828527-9</t>
  </si>
  <si>
    <t>b.jerezj@udd.cl</t>
  </si>
  <si>
    <t>Cristobal Cea</t>
  </si>
  <si>
    <t>21782688-8</t>
  </si>
  <si>
    <t>c.ceac@udd.cl</t>
  </si>
  <si>
    <t>Nicolás Becker</t>
  </si>
  <si>
    <t>20211959-k</t>
  </si>
  <si>
    <t>nbeckerf@udd.cl</t>
  </si>
  <si>
    <t xml:space="preserve">Psicología </t>
  </si>
  <si>
    <t xml:space="preserve">Bastian Farias Guerra </t>
  </si>
  <si>
    <t>20.956.063-1</t>
  </si>
  <si>
    <t>bfariasg@udd.cl</t>
  </si>
  <si>
    <t>Monserrat García</t>
  </si>
  <si>
    <t>21454064-9</t>
  </si>
  <si>
    <t>mogarcial@udd.cl</t>
  </si>
  <si>
    <t>Catalina Harbst</t>
  </si>
  <si>
    <t>21.058.797-7</t>
  </si>
  <si>
    <t>Charbstv@udd.cl</t>
  </si>
  <si>
    <t xml:space="preserve">Medicina </t>
  </si>
  <si>
    <t>Lunes 24 de noviembre 14:30-16:30</t>
  </si>
  <si>
    <t>Sofía Arismendi Torres</t>
  </si>
  <si>
    <t>21.359.107-K</t>
  </si>
  <si>
    <t>Sarismendit@udd.cl</t>
  </si>
  <si>
    <t>Tecnología Médica</t>
  </si>
  <si>
    <t xml:space="preserve">Karla Lazcano Nuñez </t>
  </si>
  <si>
    <t>21.299.110-4</t>
  </si>
  <si>
    <t>klazcanon@udd.cl</t>
  </si>
  <si>
    <t>Francisca Narr Rivera</t>
  </si>
  <si>
    <t>21.868.660-5</t>
  </si>
  <si>
    <t>francisca.narrr@gmail.com</t>
  </si>
  <si>
    <t xml:space="preserve">Maira Tapia </t>
  </si>
  <si>
    <t xml:space="preserve">20.981.212-6 </t>
  </si>
  <si>
    <t>maitapiac@udd.cl</t>
  </si>
  <si>
    <t xml:space="preserve">Tecnología Médica </t>
  </si>
  <si>
    <t>Manuel Ignacio Farias Vergara</t>
  </si>
  <si>
    <t>21213678-6</t>
  </si>
  <si>
    <t>Manfariasv@udd.cl</t>
  </si>
  <si>
    <t xml:space="preserve">Ingeneria civil industrial </t>
  </si>
  <si>
    <t xml:space="preserve">Catalina Garay Domel </t>
  </si>
  <si>
    <t>21.272.027-5</t>
  </si>
  <si>
    <t>c.garayd@udd.cl</t>
  </si>
  <si>
    <t xml:space="preserve">tecnología médica </t>
  </si>
  <si>
    <t>Agustín Fuentes Poblete</t>
  </si>
  <si>
    <t>20.823.576-1</t>
  </si>
  <si>
    <t>agfuentesp@udd.cl</t>
  </si>
  <si>
    <t>Medicina</t>
  </si>
  <si>
    <t>Joaquin Flores Toro</t>
  </si>
  <si>
    <t>21.133.119-4</t>
  </si>
  <si>
    <t>joflorest@udd.cl</t>
  </si>
  <si>
    <t>Thomas Cappelluti</t>
  </si>
  <si>
    <t>21.651.848-9</t>
  </si>
  <si>
    <t>tcappelluti05@gmail.com</t>
  </si>
  <si>
    <t xml:space="preserve">Ingeniería comercial </t>
  </si>
  <si>
    <t>Fernanda Rojas Suárez</t>
  </si>
  <si>
    <t>20.944.219-1</t>
  </si>
  <si>
    <t>ferojass@udd.cl</t>
  </si>
  <si>
    <t>Ingeniería Civil Industrial</t>
  </si>
  <si>
    <t>Sebastián Andrés Leppe Roa</t>
  </si>
  <si>
    <t>15163838-4</t>
  </si>
  <si>
    <t>s.lepper@udd.cl</t>
  </si>
  <si>
    <t>Pablo Bravo Vallejos</t>
  </si>
  <si>
    <t>20.418.470-4</t>
  </si>
  <si>
    <t>pbravov@udd.cl</t>
  </si>
  <si>
    <t>Sofía Vicuña</t>
  </si>
  <si>
    <t>20905065-k</t>
  </si>
  <si>
    <t>s.vicunai@udd.cl</t>
  </si>
  <si>
    <t>Thomas Dawson</t>
  </si>
  <si>
    <t>22.036.891-2</t>
  </si>
  <si>
    <t>t.dawsonb@udd.cl</t>
  </si>
  <si>
    <t>Ing civil plan común</t>
  </si>
  <si>
    <t>Vicente Fabres</t>
  </si>
  <si>
    <t>21.341.172-1</t>
  </si>
  <si>
    <t>Viterfa@gmail.com</t>
  </si>
  <si>
    <t>Ingeniería civil industrial</t>
  </si>
  <si>
    <t xml:space="preserve">Isabela Lopez </t>
  </si>
  <si>
    <t>22.068.093-2</t>
  </si>
  <si>
    <t>isabelalopezescobar@gmail.com</t>
  </si>
  <si>
    <t xml:space="preserve">ingeniería Ambiental </t>
  </si>
  <si>
    <t>Mariana Dawson</t>
  </si>
  <si>
    <t>21.385.339-2</t>
  </si>
  <si>
    <t>mariana.dawson.bracamonte@gmail.com</t>
  </si>
  <si>
    <t>Psicología</t>
  </si>
  <si>
    <t xml:space="preserve">Jaime bañados </t>
  </si>
  <si>
    <t>21.633.949-5</t>
  </si>
  <si>
    <t>J.banadosy@udd.cl</t>
  </si>
  <si>
    <t xml:space="preserve">Ing civil industrial </t>
  </si>
  <si>
    <t>Antonia Muñoz</t>
  </si>
  <si>
    <t>21.475.271-9</t>
  </si>
  <si>
    <t>antomunozlabra@gmail.com</t>
  </si>
  <si>
    <t xml:space="preserve">Isidora Santelices </t>
  </si>
  <si>
    <t>20.781.725-2</t>
  </si>
  <si>
    <t>isantelicesc@udd.cl</t>
  </si>
  <si>
    <t xml:space="preserve">María Francisca Becerra Bravo </t>
  </si>
  <si>
    <t>21609443-3</t>
  </si>
  <si>
    <t>Mbecerrab@udd.cl</t>
  </si>
  <si>
    <t>María Fernanda Escobar Camiruaga</t>
  </si>
  <si>
    <t>21.515.668-0</t>
  </si>
  <si>
    <t>M.escobarc@udd.cl</t>
  </si>
  <si>
    <t>Etiquetas de fila</t>
  </si>
  <si>
    <t>Total general</t>
  </si>
  <si>
    <t>Cuenta de Selecciona los horarios donde tienes disponibilidad para participar, recuerda que la actividad tendrá una duración aproximada de 120 minutos:</t>
  </si>
  <si>
    <t>Detalles de Cuenta de Selecciona los horarios donde tienes disponibilidad para participar, recuerda que la actividad tendrá una duración aproximada de 120 minutos: - Selecciona los horarios donde tienes disponibilidad para participar, recuerda que la actividad tendrá una duración aproximada de 120 minutos:: Lunes 24 de noviembre 14:30-16:30</t>
  </si>
  <si>
    <t>Lunes 24 de noviembre 11:30-13:30</t>
  </si>
  <si>
    <t>Martes 25 de noviembre 10:30 - 12:30</t>
  </si>
  <si>
    <t>Detalles de Cuenta de Selecciona los horarios donde tienes disponibilidad para participar, recuerda que la actividad tendrá una duración aproximada de 120 minutos: - Selecciona los horarios donde tienes disponibilidad para participar, recuerda que la actividad tendrá una duración aproximada de 120 minutos:: Martes 25 de noviembre 10:30 - 12:30</t>
  </si>
  <si>
    <t>Detalles de Cuenta de Selecciona los horarios donde tienes disponibilidad para participar, recuerda que la actividad tendrá una duración aproximada de 120 minutos: - Selecciona los horarios donde tienes disponibilidad para participar, recuerda que la actividad tendrá una duración aproximada de 120 minutos:: Lunes 24 de noviembre 11:30-13:30</t>
  </si>
  <si>
    <t>Detalles de Cuenta de Selecciona los horarios donde tienes disponibilidad para participar, recuerda que la actividad tendrá una duración aproximada de 120 minutos: - Selecciona los horarios donde tienes disponibilidad para participar, recuerda que la actividad tendrá una duración aproximada de 120 minutos:: Martes 25 de noviembre 14:30 - 16:30</t>
  </si>
  <si>
    <t>Confirmado</t>
  </si>
  <si>
    <t xml:space="preserve">Sesion </t>
  </si>
  <si>
    <t>Llegó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</si>
</sst>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 applyAlignment="1">
      <alignment wrapText="1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0" fillId="6" borderId="0" xfId="0" applyFill="1"/>
    <xf numFmtId="49" fontId="0" fillId="6" borderId="0" xfId="0" applyNumberFormat="1" applyFill="1" applyAlignment="1">
      <alignment wrapText="1"/>
    </xf>
    <xf numFmtId="0" fontId="0" fillId="7" borderId="0" xfId="0" applyFill="1"/>
    <xf numFmtId="0" fontId="3" fillId="6" borderId="2" xfId="0" applyFont="1" applyFill="1" applyBorder="1"/>
    <xf numFmtId="0" fontId="4" fillId="5" borderId="0" xfId="0" applyFont="1" applyFill="1"/>
    <xf numFmtId="0" fontId="3" fillId="4" borderId="0" xfId="0" applyFont="1" applyFill="1"/>
    <xf numFmtId="0" fontId="3" fillId="2" borderId="0" xfId="0" applyFont="1" applyFill="1"/>
    <xf numFmtId="0" fontId="2" fillId="4" borderId="0" xfId="0" applyFont="1" applyFill="1"/>
    <xf numFmtId="0" fontId="2" fillId="2" borderId="0" xfId="0" applyFont="1" applyFill="1"/>
    <xf numFmtId="0" fontId="1" fillId="2" borderId="0" xfId="0" applyFont="1" applyFill="1"/>
    <xf numFmtId="0" fontId="1" fillId="4" borderId="2" xfId="0" applyFont="1" applyFill="1" applyBorder="1"/>
    <xf numFmtId="0" fontId="1" fillId="4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6" borderId="2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a Utreras" refreshedDate="45981.701825694443" createdVersion="8" refreshedVersion="8" minRefreshableVersion="3" recordCount="34" xr:uid="{B31F5673-4CF6-475C-86E9-4EAB28791255}">
  <cacheSource type="worksheet">
    <worksheetSource ref="A2:F36" sheet="Sheet0"/>
  </cacheSource>
  <cacheFields count="6">
    <cacheField name="Nombre y Apellidos" numFmtId="49">
      <sharedItems/>
    </cacheField>
    <cacheField name="Rut ejemplo: 12.345.678-9" numFmtId="49">
      <sharedItems/>
    </cacheField>
    <cacheField name="Teléfono ejemplo: 987654321" numFmtId="0">
      <sharedItems containsSemiMixedTypes="0" containsString="0" containsNumber="1" containsInteger="1" minValue="98905668" maxValue="999955964"/>
    </cacheField>
    <cacheField name="Correo electrónico" numFmtId="49">
      <sharedItems/>
    </cacheField>
    <cacheField name="Carrera" numFmtId="49">
      <sharedItems/>
    </cacheField>
    <cacheField name="Selecciona los horarios donde tienes disponibilidad para participar, recuerda que la actividad tendrá una duración aproximada de 120 minutos:" numFmtId="49">
      <sharedItems count="7">
        <s v="Lunes 24 de noviembre 11:30-13:30"/>
        <s v="Martes 25 de noviembre 10:30 - 12:30"/>
        <s v="Martes 25 de noviembre 14:30 - 16:30"/>
        <s v="Lunes 24 de noviembre 14:30-16:30"/>
        <s v="1" u="1"/>
        <s v="3" u="1"/>
        <s v="1,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lemente Lagos"/>
    <s v="20755838-9"/>
    <n v="996337108"/>
    <s v="Lagosclemente@gmail.com"/>
    <s v="Derecho"/>
    <x v="0"/>
  </r>
  <r>
    <s v="Lucas Carvacho"/>
    <s v="20.831.075-5"/>
    <n v="999955964"/>
    <s v="Lcarvachov@udd.cl"/>
    <s v="Derecho"/>
    <x v="0"/>
  </r>
  <r>
    <s v="Priscila Becerra"/>
    <s v="217712318"/>
    <n v="936798964"/>
    <s v="P.becerrat@udd.cl"/>
    <s v="Tecnología médica "/>
    <x v="1"/>
  </r>
  <r>
    <s v="Gabriela Rangel "/>
    <s v="25840423-8 "/>
    <n v="971019431"/>
    <s v="g.rangels@udd.cl"/>
    <s v="Cine"/>
    <x v="2"/>
  </r>
  <r>
    <s v="Guillermo Núñez Rodríguez"/>
    <s v="17593064-7"/>
    <n v="967343270"/>
    <s v="Gununezr@udd.cl"/>
    <s v="Kinesiología"/>
    <x v="0"/>
  </r>
  <r>
    <s v="Guillermo Núñez Rodríguez"/>
    <s v="17593064-7"/>
    <n v="967343270"/>
    <s v="Gununezr@udd.cl"/>
    <s v="Kinesiología"/>
    <x v="1"/>
  </r>
  <r>
    <s v="Benjamín Jerez"/>
    <s v="21828527-9"/>
    <n v="955978665"/>
    <s v="b.jerezj@udd.cl"/>
    <s v="Derecho"/>
    <x v="0"/>
  </r>
  <r>
    <s v="Cristobal Cea"/>
    <s v="21782688-8"/>
    <n v="958029593"/>
    <s v="c.ceac@udd.cl"/>
    <s v="Derecho"/>
    <x v="0"/>
  </r>
  <r>
    <s v="Nicolás Becker"/>
    <s v="20211959-k"/>
    <n v="98905668"/>
    <s v="nbeckerf@udd.cl"/>
    <s v="Psicología "/>
    <x v="2"/>
  </r>
  <r>
    <s v="Bastian Farias Guerra "/>
    <s v="20.956.063-1"/>
    <n v="964576442"/>
    <s v="bfariasg@udd.cl"/>
    <s v="Tecnología médica "/>
    <x v="1"/>
  </r>
  <r>
    <s v="Monserrat García"/>
    <s v="21454064-9"/>
    <n v="933614017"/>
    <s v="mogarcial@udd.cl"/>
    <s v="Tecnología médica "/>
    <x v="1"/>
  </r>
  <r>
    <s v="Catalina Harbst"/>
    <s v="21.058.797-7"/>
    <n v="959438088"/>
    <s v="Charbstv@udd.cl"/>
    <s v="Medicina "/>
    <x v="3"/>
  </r>
  <r>
    <s v="Sofía Arismendi Torres"/>
    <s v="21.359.107-K"/>
    <n v="971500467"/>
    <s v="Sarismendit@udd.cl"/>
    <s v="Tecnología Médica"/>
    <x v="3"/>
  </r>
  <r>
    <s v="Karla Lazcano Nuñez "/>
    <s v="21.299.110-4"/>
    <n v="971331460"/>
    <s v="klazcanon@udd.cl"/>
    <s v="Tecnología Médica"/>
    <x v="3"/>
  </r>
  <r>
    <s v="Francisca Narr Rivera"/>
    <s v="21.868.660-5"/>
    <n v="975852046"/>
    <s v="francisca.narrr@gmail.com"/>
    <s v="Tecnología Médica"/>
    <x v="3"/>
  </r>
  <r>
    <s v="Maira Tapia "/>
    <s v="20.981.212-6 "/>
    <n v="957547267"/>
    <s v="maitapiac@udd.cl"/>
    <s v="Tecnología médica "/>
    <x v="1"/>
  </r>
  <r>
    <s v="Manuel Ignacio Farias Vergara"/>
    <s v="21213678-6"/>
    <n v="988880199"/>
    <s v="Manfariasv@udd.cl"/>
    <s v="Ingeneria civil industrial "/>
    <x v="1"/>
  </r>
  <r>
    <s v="Catalina Garay Domel "/>
    <s v="21.272.027-5"/>
    <n v="945484313"/>
    <s v="c.garayd@udd.cl"/>
    <s v="Tecnología médica "/>
    <x v="1"/>
  </r>
  <r>
    <s v="Agustín Fuentes Poblete"/>
    <s v="20.823.576-1"/>
    <n v="954042051"/>
    <s v="agfuentesp@udd.cl"/>
    <s v="Medicina"/>
    <x v="2"/>
  </r>
  <r>
    <s v="Joaquin Flores Toro"/>
    <s v="21.133.119-4"/>
    <n v="987418750"/>
    <s v="joflorest@udd.cl"/>
    <s v="Medicina"/>
    <x v="0"/>
  </r>
  <r>
    <s v="Thomas Cappelluti"/>
    <s v="21.651.848-9"/>
    <n v="993425579"/>
    <s v="tcappelluti05@gmail.com"/>
    <s v="Ingeniería comercial "/>
    <x v="2"/>
  </r>
  <r>
    <s v="Fernanda Rojas Suárez"/>
    <s v="20.944.219-1"/>
    <n v="951973607"/>
    <s v="ferojass@udd.cl"/>
    <s v="Ingeniería Civil Industrial"/>
    <x v="2"/>
  </r>
  <r>
    <s v="Sebastián Andrés Leppe Roa"/>
    <s v="15163838-4"/>
    <n v="984632693"/>
    <s v="s.lepper@udd.cl"/>
    <s v="Ingeniería Civil Industrial"/>
    <x v="0"/>
  </r>
  <r>
    <s v="Pablo Bravo Vallejos"/>
    <s v="20.418.470-4"/>
    <n v="990809669"/>
    <s v="pbravov@udd.cl"/>
    <s v="Tecnología médica "/>
    <x v="1"/>
  </r>
  <r>
    <s v="Sofía Vicuña"/>
    <s v="20905065-k"/>
    <n v="945549275"/>
    <s v="s.vicunai@udd.cl"/>
    <s v="Ingeniería Civil Industrial"/>
    <x v="0"/>
  </r>
  <r>
    <s v="Thomas Dawson"/>
    <s v="22.036.891-2"/>
    <n v="954001104"/>
    <s v="t.dawsonb@udd.cl"/>
    <s v="Ing civil plan común"/>
    <x v="3"/>
  </r>
  <r>
    <s v="Vicente Fabres"/>
    <s v="21.341.172-1"/>
    <n v="999217511"/>
    <s v="Viterfa@gmail.com"/>
    <s v="Ingeniería Civil Industrial"/>
    <x v="2"/>
  </r>
  <r>
    <s v="Isabela Lopez "/>
    <s v="22.068.093-2"/>
    <n v="966561589"/>
    <s v="isabelalopezescobar@gmail.com"/>
    <s v="ingeniería Ambiental "/>
    <x v="2"/>
  </r>
  <r>
    <s v="Mariana Dawson"/>
    <s v="21.385.339-2"/>
    <n v="979739473"/>
    <s v="mariana.dawson.bracamonte@gmail.com"/>
    <s v="Psicología"/>
    <x v="2"/>
  </r>
  <r>
    <s v="Jaime bañados "/>
    <s v="21.633.949-5"/>
    <n v="998164999"/>
    <s v="J.banadosy@udd.cl"/>
    <s v="Ing civil industrial "/>
    <x v="3"/>
  </r>
  <r>
    <s v="Antonia Muñoz"/>
    <s v="21.475.271-9"/>
    <n v="942432552"/>
    <s v="antomunozlabra@gmail.com"/>
    <s v="Psicología "/>
    <x v="2"/>
  </r>
  <r>
    <s v="Isidora Santelices "/>
    <s v="20.781.725-2"/>
    <n v="964778680"/>
    <s v="isantelicesc@udd.cl"/>
    <s v="Psicología "/>
    <x v="3"/>
  </r>
  <r>
    <s v="María Francisca Becerra Bravo "/>
    <s v="21609443-3"/>
    <n v="983135683"/>
    <s v="Mbecerrab@udd.cl"/>
    <s v="Psicología "/>
    <x v="3"/>
  </r>
  <r>
    <s v="María Fernanda Escobar Camiruaga"/>
    <s v="21.515.668-0"/>
    <n v="984812906"/>
    <s v="M.escobarc@udd.cl"/>
    <s v="Psicología 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A4C83-DF25-4E15-97B5-BD344EC5BDA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8">
        <item m="1" x="4"/>
        <item m="1" x="6"/>
        <item m="1" x="5"/>
        <item x="3"/>
        <item x="2"/>
        <item x="0"/>
        <item x="1"/>
        <item t="default"/>
      </items>
    </pivotField>
  </pivotFields>
  <rowFields count="1">
    <field x="5"/>
  </rowFields>
  <rowItems count="5"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Selecciona los horarios donde tienes disponibilidad para participar, recuerda que la actividad tendrá una duración aproximada de 120 minutos: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73558-C503-42AF-BA53-0F5DB2A50D9B}" name="Tabla1" displayName="Tabla1" ref="A3:F11" totalsRowShown="0">
  <autoFilter ref="A3:F11" xr:uid="{58173558-C503-42AF-BA53-0F5DB2A50D9B}"/>
  <tableColumns count="6">
    <tableColumn id="1" xr3:uid="{4EDAF969-0222-4BCD-88B8-2641C96961E9}" name="Nombre y Apellidos"/>
    <tableColumn id="2" xr3:uid="{8E8C3E99-B6B0-452F-9632-DE4E65DDAE3F}" name="Rut ejemplo: 12.345.678-9"/>
    <tableColumn id="3" xr3:uid="{D00853EA-70B6-4E24-A3FA-3A0D2179E7B8}" name="Teléfono ejemplo: 987654321"/>
    <tableColumn id="4" xr3:uid="{B09381F2-595F-4C4B-93BE-79160A8CDCE3}" name="Correo electrónico"/>
    <tableColumn id="5" xr3:uid="{D5776492-7A4C-4490-BE48-E5A4BEB6E051}" name="Carrera"/>
    <tableColumn id="6" xr3:uid="{DFBC82F0-F16E-44C8-BBD9-73B1519A92D9}" name="Selecciona los horarios donde tienes disponibilidad para participar, recuerda que la actividad tendrá una duración aproximada de 120 minutos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D9F99-B98F-4D6F-99F7-F4C7EB5F972E}" name="Tabla2" displayName="Tabla2" ref="A3:F11" totalsRowShown="0">
  <autoFilter ref="A3:F11" xr:uid="{271D9F99-B98F-4D6F-99F7-F4C7EB5F972E}"/>
  <tableColumns count="6">
    <tableColumn id="1" xr3:uid="{96FAB5AE-F9C2-4FA4-AB79-B2387AE3E065}" name="Nombre y Apellidos"/>
    <tableColumn id="2" xr3:uid="{432B1265-484B-4061-88DA-BC2FF21827FD}" name="Rut ejemplo: 12.345.678-9"/>
    <tableColumn id="3" xr3:uid="{02A21B4E-E007-43BB-8678-50A32A9760B7}" name="Teléfono ejemplo: 987654321"/>
    <tableColumn id="4" xr3:uid="{3043EC91-2F5A-4B73-A0F5-D996CE99FD26}" name="Correo electrónico"/>
    <tableColumn id="5" xr3:uid="{5ECF290E-70DB-4F8A-B097-DC8103D59D41}" name="Carrera"/>
    <tableColumn id="6" xr3:uid="{6A9B729F-38E1-4BB2-810E-C74583645DF9}" name="Selecciona los horarios donde tienes disponibilidad para participar, recuerda que la actividad tendrá una duración aproximada de 120 minutos: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DF7BAD-CC1B-48FA-A015-CC170FAA25FE}" name="Tabla3" displayName="Tabla3" ref="A3:F11" totalsRowShown="0">
  <autoFilter ref="A3:F11" xr:uid="{D4DF7BAD-CC1B-48FA-A015-CC170FAA25FE}"/>
  <tableColumns count="6">
    <tableColumn id="1" xr3:uid="{8FDBADDB-D092-407C-8363-7CF5E60D7EB0}" name="Nombre y Apellidos"/>
    <tableColumn id="2" xr3:uid="{2067641D-C829-49E7-8589-361CF61CB2AA}" name="Rut ejemplo: 12.345.678-9"/>
    <tableColumn id="3" xr3:uid="{DE600F69-BF15-4EB9-BEE4-29D230B077D0}" name="Teléfono ejemplo: 987654321"/>
    <tableColumn id="4" xr3:uid="{A5886C99-69D5-4E38-BBC6-CC06E9F72471}" name="Correo electrónico"/>
    <tableColumn id="5" xr3:uid="{A5E6B2E2-800D-4C8F-BFB5-727A040A1C39}" name="Carrera"/>
    <tableColumn id="6" xr3:uid="{4A4BBB11-7AE0-4C04-B20F-BB01F455FEFB}" name="Selecciona los horarios donde tienes disponibilidad para participar, recuerda que la actividad tendrá una duración aproximada de 120 minutos: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CFB5E4-26C2-403E-9176-B1AE69BA1DB3}" name="Tabla4" displayName="Tabla4" ref="A3:F13" totalsRowShown="0">
  <autoFilter ref="A3:F13" xr:uid="{A6CFB5E4-26C2-403E-9176-B1AE69BA1DB3}"/>
  <tableColumns count="6">
    <tableColumn id="1" xr3:uid="{425907F7-AA15-4FBE-86AF-5BCB2D32BA12}" name="Nombre y Apellidos"/>
    <tableColumn id="2" xr3:uid="{277DD03E-71AF-457F-A95F-E49237FF88AF}" name="Rut ejemplo: 12.345.678-9"/>
    <tableColumn id="3" xr3:uid="{86212742-DD6A-4D1E-9D8D-E96952599C29}" name="Teléfono ejemplo: 987654321"/>
    <tableColumn id="4" xr3:uid="{BC879ACE-5EE4-491B-A7A1-40E2F0398FDB}" name="Correo electrónico"/>
    <tableColumn id="5" xr3:uid="{90A76D26-D191-442C-B3FC-CE638A7C3621}" name="Carrera"/>
    <tableColumn id="6" xr3:uid="{E4591BF5-0553-440D-9736-410359376615}" name="Selecciona los horarios donde tienes disponibilidad para participar, recuerda que la actividad tendrá una duración aproximada de 120 minutos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F79A-D09D-4D46-B4AB-0F9C36A4661B}">
  <dimension ref="A1:F11"/>
  <sheetViews>
    <sheetView workbookViewId="0">
      <selection activeCell="A10" sqref="A10:F11"/>
    </sheetView>
  </sheetViews>
  <sheetFormatPr baseColWidth="10" defaultRowHeight="14.25" x14ac:dyDescent="0.45"/>
  <cols>
    <col min="1" max="1" width="24.59765625" bestFit="1" customWidth="1"/>
    <col min="2" max="2" width="24.265625" bestFit="1" customWidth="1"/>
    <col min="3" max="3" width="26.86328125" bestFit="1" customWidth="1"/>
    <col min="4" max="4" width="22.1328125" bestFit="1" customWidth="1"/>
    <col min="5" max="5" width="16.19921875" bestFit="1" customWidth="1"/>
    <col min="6" max="6" width="117.06640625" bestFit="1" customWidth="1"/>
  </cols>
  <sheetData>
    <row r="1" spans="1:6" x14ac:dyDescent="0.45">
      <c r="A1" s="14" t="s">
        <v>133</v>
      </c>
    </row>
    <row r="3" spans="1:6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</row>
    <row r="4" spans="1:6" x14ac:dyDescent="0.45">
      <c r="A4" t="s">
        <v>124</v>
      </c>
      <c r="B4" t="s">
        <v>125</v>
      </c>
      <c r="C4">
        <v>983135683</v>
      </c>
      <c r="D4" s="15" t="s">
        <v>126</v>
      </c>
      <c r="E4" t="s">
        <v>40</v>
      </c>
      <c r="F4" t="s">
        <v>51</v>
      </c>
    </row>
    <row r="5" spans="1:6" x14ac:dyDescent="0.45">
      <c r="A5" t="s">
        <v>121</v>
      </c>
      <c r="B5" t="s">
        <v>122</v>
      </c>
      <c r="C5">
        <v>964778680</v>
      </c>
      <c r="D5" s="15" t="s">
        <v>123</v>
      </c>
      <c r="E5" t="s">
        <v>40</v>
      </c>
      <c r="F5" t="s">
        <v>51</v>
      </c>
    </row>
    <row r="6" spans="1:6" x14ac:dyDescent="0.45">
      <c r="A6" t="s">
        <v>114</v>
      </c>
      <c r="B6" t="s">
        <v>115</v>
      </c>
      <c r="C6">
        <v>998164999</v>
      </c>
      <c r="D6" s="15" t="s">
        <v>116</v>
      </c>
      <c r="E6" t="s">
        <v>117</v>
      </c>
      <c r="F6" t="s">
        <v>51</v>
      </c>
    </row>
    <row r="7" spans="1:6" x14ac:dyDescent="0.45">
      <c r="A7" t="s">
        <v>98</v>
      </c>
      <c r="B7" t="s">
        <v>99</v>
      </c>
      <c r="C7">
        <v>954001104</v>
      </c>
      <c r="D7" s="15" t="s">
        <v>100</v>
      </c>
      <c r="E7" t="s">
        <v>101</v>
      </c>
      <c r="F7" t="s">
        <v>51</v>
      </c>
    </row>
    <row r="8" spans="1:6" x14ac:dyDescent="0.45">
      <c r="A8" t="s">
        <v>59</v>
      </c>
      <c r="B8" t="s">
        <v>60</v>
      </c>
      <c r="C8">
        <v>975852046</v>
      </c>
      <c r="D8" s="15" t="s">
        <v>61</v>
      </c>
      <c r="E8" t="s">
        <v>55</v>
      </c>
      <c r="F8" t="s">
        <v>51</v>
      </c>
    </row>
    <row r="9" spans="1:6" x14ac:dyDescent="0.45">
      <c r="A9" t="s">
        <v>56</v>
      </c>
      <c r="B9" t="s">
        <v>57</v>
      </c>
      <c r="C9">
        <v>971331460</v>
      </c>
      <c r="D9" s="15" t="s">
        <v>58</v>
      </c>
      <c r="E9" t="s">
        <v>55</v>
      </c>
      <c r="F9" t="s">
        <v>51</v>
      </c>
    </row>
    <row r="10" spans="1:6" x14ac:dyDescent="0.45">
      <c r="A10" t="s">
        <v>52</v>
      </c>
      <c r="B10" t="s">
        <v>53</v>
      </c>
      <c r="C10">
        <v>971500467</v>
      </c>
      <c r="D10" s="15" t="s">
        <v>54</v>
      </c>
      <c r="E10" t="s">
        <v>55</v>
      </c>
      <c r="F10" t="s">
        <v>51</v>
      </c>
    </row>
    <row r="11" spans="1:6" x14ac:dyDescent="0.45">
      <c r="A11" t="s">
        <v>47</v>
      </c>
      <c r="B11" t="s">
        <v>48</v>
      </c>
      <c r="C11">
        <v>959438088</v>
      </c>
      <c r="D11" s="15" t="s">
        <v>49</v>
      </c>
      <c r="E11" t="s">
        <v>50</v>
      </c>
      <c r="F1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DE6B-061F-4260-B493-D12886E0A6F8}">
  <dimension ref="A1:F11"/>
  <sheetViews>
    <sheetView topLeftCell="D1" workbookViewId="0">
      <selection activeCell="A4" sqref="A4:F10"/>
    </sheetView>
  </sheetViews>
  <sheetFormatPr baseColWidth="10" defaultRowHeight="14.25" x14ac:dyDescent="0.45"/>
  <cols>
    <col min="1" max="1" width="24" bestFit="1" customWidth="1"/>
    <col min="2" max="2" width="24.265625" bestFit="1" customWidth="1"/>
    <col min="3" max="3" width="26.86328125" bestFit="1" customWidth="1"/>
    <col min="4" max="4" width="18.06640625" bestFit="1" customWidth="1"/>
    <col min="5" max="5" width="19.3984375" bestFit="1" customWidth="1"/>
    <col min="6" max="6" width="117.06640625" bestFit="1" customWidth="1"/>
  </cols>
  <sheetData>
    <row r="1" spans="1:6" x14ac:dyDescent="0.45">
      <c r="A1" s="14" t="s">
        <v>136</v>
      </c>
    </row>
    <row r="3" spans="1:6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</row>
    <row r="4" spans="1:6" x14ac:dyDescent="0.45">
      <c r="A4" t="s">
        <v>92</v>
      </c>
      <c r="B4" t="s">
        <v>93</v>
      </c>
      <c r="C4">
        <v>990809669</v>
      </c>
      <c r="D4" s="15" t="s">
        <v>94</v>
      </c>
      <c r="E4" t="s">
        <v>21</v>
      </c>
      <c r="F4" t="s">
        <v>135</v>
      </c>
    </row>
    <row r="5" spans="1:6" x14ac:dyDescent="0.45">
      <c r="A5" t="s">
        <v>70</v>
      </c>
      <c r="B5" t="s">
        <v>71</v>
      </c>
      <c r="C5">
        <v>945484313</v>
      </c>
      <c r="D5" s="15" t="s">
        <v>72</v>
      </c>
      <c r="E5" t="s">
        <v>21</v>
      </c>
      <c r="F5" t="s">
        <v>135</v>
      </c>
    </row>
    <row r="6" spans="1:6" x14ac:dyDescent="0.45">
      <c r="A6" t="s">
        <v>18</v>
      </c>
      <c r="B6" t="s">
        <v>19</v>
      </c>
      <c r="C6">
        <v>936798964</v>
      </c>
      <c r="D6" s="15" t="s">
        <v>20</v>
      </c>
      <c r="E6" t="s">
        <v>21</v>
      </c>
      <c r="F6" t="s">
        <v>135</v>
      </c>
    </row>
    <row r="7" spans="1:6" x14ac:dyDescent="0.45">
      <c r="A7" t="s">
        <v>66</v>
      </c>
      <c r="B7" t="s">
        <v>67</v>
      </c>
      <c r="C7">
        <v>988880199</v>
      </c>
      <c r="D7" s="15" t="s">
        <v>68</v>
      </c>
      <c r="E7" t="s">
        <v>69</v>
      </c>
      <c r="F7" t="s">
        <v>135</v>
      </c>
    </row>
    <row r="8" spans="1:6" x14ac:dyDescent="0.45">
      <c r="A8" t="s">
        <v>62</v>
      </c>
      <c r="B8" t="s">
        <v>63</v>
      </c>
      <c r="C8">
        <v>957547267</v>
      </c>
      <c r="D8" s="15" t="s">
        <v>64</v>
      </c>
      <c r="E8" t="s">
        <v>21</v>
      </c>
      <c r="F8" t="s">
        <v>135</v>
      </c>
    </row>
    <row r="9" spans="1:6" s="17" customFormat="1" x14ac:dyDescent="0.45">
      <c r="A9" s="17" t="s">
        <v>27</v>
      </c>
      <c r="B9" s="17" t="s">
        <v>28</v>
      </c>
      <c r="C9" s="17">
        <v>967343270</v>
      </c>
      <c r="D9" s="17" t="s">
        <v>29</v>
      </c>
      <c r="E9" s="17" t="s">
        <v>30</v>
      </c>
      <c r="F9" s="17" t="s">
        <v>135</v>
      </c>
    </row>
    <row r="10" spans="1:6" x14ac:dyDescent="0.45">
      <c r="A10" t="s">
        <v>44</v>
      </c>
      <c r="B10" t="s">
        <v>45</v>
      </c>
      <c r="C10">
        <v>933614017</v>
      </c>
      <c r="D10" s="15" t="s">
        <v>46</v>
      </c>
      <c r="E10" t="s">
        <v>21</v>
      </c>
      <c r="F10" t="s">
        <v>135</v>
      </c>
    </row>
    <row r="11" spans="1:6" x14ac:dyDescent="0.45">
      <c r="A11" t="s">
        <v>41</v>
      </c>
      <c r="B11" t="s">
        <v>42</v>
      </c>
      <c r="C11">
        <v>964576442</v>
      </c>
      <c r="D11" t="s">
        <v>43</v>
      </c>
      <c r="E11" t="s">
        <v>21</v>
      </c>
      <c r="F11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02B0-25B0-4D94-82A8-064C5E22BC74}">
  <dimension ref="A1:F11"/>
  <sheetViews>
    <sheetView topLeftCell="D1" workbookViewId="0">
      <selection activeCell="A3" sqref="A3:F9"/>
    </sheetView>
  </sheetViews>
  <sheetFormatPr baseColWidth="10" defaultRowHeight="14.25" x14ac:dyDescent="0.45"/>
  <cols>
    <col min="1" max="1" width="22.86328125" bestFit="1" customWidth="1"/>
    <col min="2" max="2" width="24.265625" bestFit="1" customWidth="1"/>
    <col min="3" max="3" width="26.86328125" bestFit="1" customWidth="1"/>
    <col min="4" max="4" width="22.6640625" bestFit="1" customWidth="1"/>
    <col min="5" max="5" width="19.796875" bestFit="1" customWidth="1"/>
    <col min="6" max="6" width="117.06640625" bestFit="1" customWidth="1"/>
  </cols>
  <sheetData>
    <row r="1" spans="1:6" x14ac:dyDescent="0.45">
      <c r="A1" s="14" t="s">
        <v>137</v>
      </c>
    </row>
    <row r="3" spans="1:6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</row>
    <row r="4" spans="1:6" x14ac:dyDescent="0.45">
      <c r="A4" t="s">
        <v>11</v>
      </c>
      <c r="B4" t="s">
        <v>12</v>
      </c>
      <c r="C4">
        <v>996337108</v>
      </c>
      <c r="D4" s="15" t="s">
        <v>13</v>
      </c>
      <c r="E4" t="s">
        <v>14</v>
      </c>
      <c r="F4" t="s">
        <v>134</v>
      </c>
    </row>
    <row r="5" spans="1:6" x14ac:dyDescent="0.45">
      <c r="A5" t="s">
        <v>15</v>
      </c>
      <c r="B5" t="s">
        <v>16</v>
      </c>
      <c r="C5">
        <v>999955964</v>
      </c>
      <c r="D5" s="15" t="s">
        <v>17</v>
      </c>
      <c r="E5" t="s">
        <v>14</v>
      </c>
      <c r="F5" t="s">
        <v>134</v>
      </c>
    </row>
    <row r="6" spans="1:6" x14ac:dyDescent="0.45">
      <c r="A6" t="s">
        <v>95</v>
      </c>
      <c r="B6" t="s">
        <v>96</v>
      </c>
      <c r="C6">
        <v>945549275</v>
      </c>
      <c r="D6" s="15" t="s">
        <v>97</v>
      </c>
      <c r="E6" t="s">
        <v>88</v>
      </c>
      <c r="F6" t="s">
        <v>134</v>
      </c>
    </row>
    <row r="7" spans="1:6" x14ac:dyDescent="0.45">
      <c r="A7" t="s">
        <v>89</v>
      </c>
      <c r="B7" t="s">
        <v>90</v>
      </c>
      <c r="C7">
        <v>984632693</v>
      </c>
      <c r="D7" s="15" t="s">
        <v>91</v>
      </c>
      <c r="E7" t="s">
        <v>88</v>
      </c>
      <c r="F7" t="s">
        <v>134</v>
      </c>
    </row>
    <row r="8" spans="1:6" x14ac:dyDescent="0.45">
      <c r="A8" t="s">
        <v>27</v>
      </c>
      <c r="B8" t="s">
        <v>28</v>
      </c>
      <c r="C8">
        <v>967343270</v>
      </c>
      <c r="D8" s="15" t="s">
        <v>29</v>
      </c>
      <c r="E8" t="s">
        <v>30</v>
      </c>
      <c r="F8" t="s">
        <v>134</v>
      </c>
    </row>
    <row r="9" spans="1:6" x14ac:dyDescent="0.45">
      <c r="A9" t="s">
        <v>78</v>
      </c>
      <c r="B9" t="s">
        <v>79</v>
      </c>
      <c r="C9">
        <v>987418750</v>
      </c>
      <c r="D9" s="15" t="s">
        <v>80</v>
      </c>
      <c r="E9" t="s">
        <v>77</v>
      </c>
      <c r="F9" t="s">
        <v>134</v>
      </c>
    </row>
    <row r="10" spans="1:6" x14ac:dyDescent="0.45">
      <c r="A10" t="s">
        <v>31</v>
      </c>
      <c r="B10" t="s">
        <v>32</v>
      </c>
      <c r="C10">
        <v>955978665</v>
      </c>
      <c r="D10" t="s">
        <v>33</v>
      </c>
      <c r="E10" t="s">
        <v>14</v>
      </c>
      <c r="F10" t="s">
        <v>134</v>
      </c>
    </row>
    <row r="11" spans="1:6" x14ac:dyDescent="0.45">
      <c r="A11" t="s">
        <v>34</v>
      </c>
      <c r="B11" t="s">
        <v>35</v>
      </c>
      <c r="C11">
        <v>958029593</v>
      </c>
      <c r="D11" t="s">
        <v>36</v>
      </c>
      <c r="E11" t="s">
        <v>14</v>
      </c>
      <c r="F11" t="s">
        <v>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E11-C063-4FA9-808C-B377B5D5DB9C}">
  <dimension ref="A1:F13"/>
  <sheetViews>
    <sheetView topLeftCell="E1" workbookViewId="0">
      <selection activeCell="A4" sqref="A4:F13"/>
    </sheetView>
  </sheetViews>
  <sheetFormatPr baseColWidth="10" defaultRowHeight="14.25" x14ac:dyDescent="0.45"/>
  <cols>
    <col min="1" max="1" width="28.46484375" bestFit="1" customWidth="1"/>
    <col min="2" max="2" width="24.265625" bestFit="1" customWidth="1"/>
    <col min="3" max="3" width="26.86328125" bestFit="1" customWidth="1"/>
    <col min="4" max="4" width="33.796875" bestFit="1" customWidth="1"/>
    <col min="5" max="5" width="19.796875" bestFit="1" customWidth="1"/>
    <col min="6" max="6" width="117.06640625" bestFit="1" customWidth="1"/>
  </cols>
  <sheetData>
    <row r="1" spans="1:6" x14ac:dyDescent="0.45">
      <c r="A1" s="14" t="s">
        <v>138</v>
      </c>
    </row>
    <row r="3" spans="1:6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</row>
    <row r="4" spans="1:6" x14ac:dyDescent="0.45">
      <c r="A4" t="s">
        <v>127</v>
      </c>
      <c r="B4" t="s">
        <v>128</v>
      </c>
      <c r="C4">
        <v>984812906</v>
      </c>
      <c r="D4" t="s">
        <v>129</v>
      </c>
      <c r="E4" t="s">
        <v>40</v>
      </c>
      <c r="F4" t="s">
        <v>26</v>
      </c>
    </row>
    <row r="5" spans="1:6" x14ac:dyDescent="0.45">
      <c r="A5" t="s">
        <v>118</v>
      </c>
      <c r="B5" t="s">
        <v>119</v>
      </c>
      <c r="C5">
        <v>942432552</v>
      </c>
      <c r="D5" t="s">
        <v>120</v>
      </c>
      <c r="E5" t="s">
        <v>40</v>
      </c>
      <c r="F5" t="s">
        <v>26</v>
      </c>
    </row>
    <row r="6" spans="1:6" x14ac:dyDescent="0.45">
      <c r="A6" t="s">
        <v>110</v>
      </c>
      <c r="B6" t="s">
        <v>111</v>
      </c>
      <c r="C6">
        <v>979739473</v>
      </c>
      <c r="D6" t="s">
        <v>112</v>
      </c>
      <c r="E6" t="s">
        <v>113</v>
      </c>
      <c r="F6" t="s">
        <v>26</v>
      </c>
    </row>
    <row r="7" spans="1:6" x14ac:dyDescent="0.45">
      <c r="A7" t="s">
        <v>22</v>
      </c>
      <c r="B7" t="s">
        <v>23</v>
      </c>
      <c r="C7">
        <v>971019431</v>
      </c>
      <c r="D7" t="s">
        <v>24</v>
      </c>
      <c r="E7" t="s">
        <v>25</v>
      </c>
      <c r="F7" t="s">
        <v>26</v>
      </c>
    </row>
    <row r="8" spans="1:6" x14ac:dyDescent="0.45">
      <c r="A8" t="s">
        <v>106</v>
      </c>
      <c r="B8" t="s">
        <v>107</v>
      </c>
      <c r="C8">
        <v>966561589</v>
      </c>
      <c r="D8" t="s">
        <v>108</v>
      </c>
      <c r="E8" t="s">
        <v>109</v>
      </c>
      <c r="F8" t="s">
        <v>26</v>
      </c>
    </row>
    <row r="9" spans="1:6" x14ac:dyDescent="0.45">
      <c r="A9" t="s">
        <v>102</v>
      </c>
      <c r="B9" t="s">
        <v>103</v>
      </c>
      <c r="C9">
        <v>999217511</v>
      </c>
      <c r="D9" t="s">
        <v>104</v>
      </c>
      <c r="E9" t="s">
        <v>88</v>
      </c>
      <c r="F9" t="s">
        <v>26</v>
      </c>
    </row>
    <row r="10" spans="1:6" x14ac:dyDescent="0.45">
      <c r="A10" t="s">
        <v>85</v>
      </c>
      <c r="B10" t="s">
        <v>86</v>
      </c>
      <c r="C10">
        <v>951973607</v>
      </c>
      <c r="D10" t="s">
        <v>87</v>
      </c>
      <c r="E10" t="s">
        <v>88</v>
      </c>
      <c r="F10" t="s">
        <v>26</v>
      </c>
    </row>
    <row r="11" spans="1:6" x14ac:dyDescent="0.45">
      <c r="A11" t="s">
        <v>81</v>
      </c>
      <c r="B11" t="s">
        <v>82</v>
      </c>
      <c r="C11">
        <v>993425579</v>
      </c>
      <c r="D11" t="s">
        <v>83</v>
      </c>
      <c r="E11" t="s">
        <v>84</v>
      </c>
      <c r="F11" t="s">
        <v>26</v>
      </c>
    </row>
    <row r="12" spans="1:6" x14ac:dyDescent="0.45">
      <c r="A12" t="s">
        <v>37</v>
      </c>
      <c r="B12" t="s">
        <v>38</v>
      </c>
      <c r="C12">
        <v>98905668</v>
      </c>
      <c r="D12" t="s">
        <v>39</v>
      </c>
      <c r="E12" t="s">
        <v>40</v>
      </c>
      <c r="F12" t="s">
        <v>26</v>
      </c>
    </row>
    <row r="13" spans="1:6" x14ac:dyDescent="0.45">
      <c r="A13" t="s">
        <v>74</v>
      </c>
      <c r="B13" t="s">
        <v>75</v>
      </c>
      <c r="C13">
        <v>954042051</v>
      </c>
      <c r="D13" t="s">
        <v>76</v>
      </c>
      <c r="E13" t="s">
        <v>77</v>
      </c>
      <c r="F13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3D70-4AE5-4075-8474-7914A14ECC86}">
  <dimension ref="A3:B8"/>
  <sheetViews>
    <sheetView workbookViewId="0">
      <selection activeCell="B5" sqref="B5"/>
    </sheetView>
  </sheetViews>
  <sheetFormatPr baseColWidth="10" defaultRowHeight="14.25" x14ac:dyDescent="0.45"/>
  <cols>
    <col min="1" max="1" width="30.19921875" bestFit="1" customWidth="1"/>
    <col min="2" max="2" width="26.53125" customWidth="1"/>
  </cols>
  <sheetData>
    <row r="3" spans="1:2" x14ac:dyDescent="0.45">
      <c r="A3" s="3" t="s">
        <v>130</v>
      </c>
      <c r="B3" t="s">
        <v>132</v>
      </c>
    </row>
    <row r="4" spans="1:2" x14ac:dyDescent="0.45">
      <c r="A4" s="4" t="s">
        <v>51</v>
      </c>
      <c r="B4">
        <v>8</v>
      </c>
    </row>
    <row r="5" spans="1:2" x14ac:dyDescent="0.45">
      <c r="A5" s="4" t="s">
        <v>26</v>
      </c>
      <c r="B5">
        <v>10</v>
      </c>
    </row>
    <row r="6" spans="1:2" x14ac:dyDescent="0.45">
      <c r="A6" s="4" t="s">
        <v>134</v>
      </c>
      <c r="B6">
        <v>8</v>
      </c>
    </row>
    <row r="7" spans="1:2" x14ac:dyDescent="0.45">
      <c r="A7" s="4" t="s">
        <v>135</v>
      </c>
      <c r="B7">
        <v>8</v>
      </c>
    </row>
    <row r="8" spans="1:2" x14ac:dyDescent="0.45">
      <c r="A8" s="4" t="s">
        <v>131</v>
      </c>
      <c r="B8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A7" sqref="A7:XFD8"/>
    </sheetView>
  </sheetViews>
  <sheetFormatPr baseColWidth="10" defaultColWidth="8.9296875" defaultRowHeight="14.25" x14ac:dyDescent="0.45"/>
  <cols>
    <col min="1" max="11" width="14.13281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4</v>
      </c>
      <c r="F2" s="2" t="s">
        <v>10</v>
      </c>
    </row>
    <row r="3" spans="1:6" ht="42.75" x14ac:dyDescent="0.45">
      <c r="A3" s="1" t="s">
        <v>11</v>
      </c>
      <c r="B3" s="1" t="s">
        <v>12</v>
      </c>
      <c r="C3">
        <v>996337108</v>
      </c>
      <c r="D3" s="1" t="s">
        <v>13</v>
      </c>
      <c r="E3" s="1" t="s">
        <v>14</v>
      </c>
      <c r="F3" s="1" t="s">
        <v>134</v>
      </c>
    </row>
    <row r="4" spans="1:6" ht="42.75" x14ac:dyDescent="0.45">
      <c r="A4" s="1" t="s">
        <v>15</v>
      </c>
      <c r="B4" s="1" t="s">
        <v>16</v>
      </c>
      <c r="C4">
        <v>999955964</v>
      </c>
      <c r="D4" s="1" t="s">
        <v>17</v>
      </c>
      <c r="E4" s="1" t="s">
        <v>14</v>
      </c>
      <c r="F4" s="1" t="s">
        <v>134</v>
      </c>
    </row>
    <row r="5" spans="1:6" ht="42.75" x14ac:dyDescent="0.45">
      <c r="A5" s="1" t="s">
        <v>18</v>
      </c>
      <c r="B5" s="1" t="s">
        <v>19</v>
      </c>
      <c r="C5">
        <v>936798964</v>
      </c>
      <c r="D5" s="1" t="s">
        <v>20</v>
      </c>
      <c r="E5" s="1" t="s">
        <v>21</v>
      </c>
      <c r="F5" s="1" t="s">
        <v>135</v>
      </c>
    </row>
    <row r="6" spans="1:6" ht="42.75" x14ac:dyDescent="0.45">
      <c r="A6" s="1" t="s">
        <v>22</v>
      </c>
      <c r="B6" s="1" t="s">
        <v>23</v>
      </c>
      <c r="C6">
        <v>971019431</v>
      </c>
      <c r="D6" s="1" t="s">
        <v>24</v>
      </c>
      <c r="E6" s="1" t="s">
        <v>25</v>
      </c>
      <c r="F6" s="1" t="s">
        <v>26</v>
      </c>
    </row>
    <row r="7" spans="1:6" s="15" customFormat="1" ht="42.75" x14ac:dyDescent="0.45">
      <c r="A7" s="16" t="s">
        <v>27</v>
      </c>
      <c r="B7" s="16" t="s">
        <v>28</v>
      </c>
      <c r="C7" s="15">
        <v>967343270</v>
      </c>
      <c r="D7" s="16" t="s">
        <v>29</v>
      </c>
      <c r="E7" s="16" t="s">
        <v>30</v>
      </c>
      <c r="F7" s="16" t="s">
        <v>134</v>
      </c>
    </row>
    <row r="8" spans="1:6" s="15" customFormat="1" ht="42.75" x14ac:dyDescent="0.45">
      <c r="A8" s="16" t="s">
        <v>27</v>
      </c>
      <c r="B8" s="16" t="s">
        <v>28</v>
      </c>
      <c r="C8" s="15">
        <v>967343270</v>
      </c>
      <c r="D8" s="16" t="s">
        <v>29</v>
      </c>
      <c r="E8" s="16" t="s">
        <v>30</v>
      </c>
      <c r="F8" s="16" t="s">
        <v>135</v>
      </c>
    </row>
    <row r="9" spans="1:6" ht="42.75" x14ac:dyDescent="0.45">
      <c r="A9" s="1" t="s">
        <v>31</v>
      </c>
      <c r="B9" s="1" t="s">
        <v>32</v>
      </c>
      <c r="C9">
        <v>955978665</v>
      </c>
      <c r="D9" s="1" t="s">
        <v>33</v>
      </c>
      <c r="E9" s="1" t="s">
        <v>14</v>
      </c>
      <c r="F9" s="1" t="s">
        <v>134</v>
      </c>
    </row>
    <row r="10" spans="1:6" ht="42.75" x14ac:dyDescent="0.45">
      <c r="A10" s="1" t="s">
        <v>34</v>
      </c>
      <c r="B10" s="1" t="s">
        <v>35</v>
      </c>
      <c r="C10">
        <v>958029593</v>
      </c>
      <c r="D10" s="1" t="s">
        <v>36</v>
      </c>
      <c r="E10" s="1" t="s">
        <v>14</v>
      </c>
      <c r="F10" s="1" t="s">
        <v>134</v>
      </c>
    </row>
    <row r="11" spans="1:6" ht="42.75" x14ac:dyDescent="0.45">
      <c r="A11" s="1" t="s">
        <v>37</v>
      </c>
      <c r="B11" s="1" t="s">
        <v>38</v>
      </c>
      <c r="C11">
        <v>98905668</v>
      </c>
      <c r="D11" s="1" t="s">
        <v>39</v>
      </c>
      <c r="E11" s="1" t="s">
        <v>40</v>
      </c>
      <c r="F11" s="1" t="s">
        <v>26</v>
      </c>
    </row>
    <row r="12" spans="1:6" ht="42.75" x14ac:dyDescent="0.45">
      <c r="A12" s="1" t="s">
        <v>41</v>
      </c>
      <c r="B12" s="1" t="s">
        <v>42</v>
      </c>
      <c r="C12">
        <v>964576442</v>
      </c>
      <c r="D12" s="1" t="s">
        <v>43</v>
      </c>
      <c r="E12" s="1" t="s">
        <v>21</v>
      </c>
      <c r="F12" s="1" t="s">
        <v>135</v>
      </c>
    </row>
    <row r="13" spans="1:6" ht="42.75" x14ac:dyDescent="0.45">
      <c r="A13" s="1" t="s">
        <v>44</v>
      </c>
      <c r="B13" s="1" t="s">
        <v>45</v>
      </c>
      <c r="C13">
        <v>933614017</v>
      </c>
      <c r="D13" s="1" t="s">
        <v>46</v>
      </c>
      <c r="E13" s="1" t="s">
        <v>21</v>
      </c>
      <c r="F13" s="1" t="s">
        <v>135</v>
      </c>
    </row>
    <row r="14" spans="1:6" ht="42.75" x14ac:dyDescent="0.45">
      <c r="A14" s="1" t="s">
        <v>47</v>
      </c>
      <c r="B14" s="1" t="s">
        <v>48</v>
      </c>
      <c r="C14">
        <v>959438088</v>
      </c>
      <c r="D14" s="1" t="s">
        <v>49</v>
      </c>
      <c r="E14" s="1" t="s">
        <v>50</v>
      </c>
      <c r="F14" s="1" t="s">
        <v>51</v>
      </c>
    </row>
    <row r="15" spans="1:6" ht="42.75" x14ac:dyDescent="0.45">
      <c r="A15" s="1" t="s">
        <v>52</v>
      </c>
      <c r="B15" s="1" t="s">
        <v>53</v>
      </c>
      <c r="C15">
        <v>971500467</v>
      </c>
      <c r="D15" s="1" t="s">
        <v>54</v>
      </c>
      <c r="E15" s="1" t="s">
        <v>55</v>
      </c>
      <c r="F15" s="1" t="s">
        <v>51</v>
      </c>
    </row>
    <row r="16" spans="1:6" ht="42.75" x14ac:dyDescent="0.45">
      <c r="A16" s="1" t="s">
        <v>56</v>
      </c>
      <c r="B16" s="1" t="s">
        <v>57</v>
      </c>
      <c r="C16">
        <v>971331460</v>
      </c>
      <c r="D16" s="1" t="s">
        <v>58</v>
      </c>
      <c r="E16" s="1" t="s">
        <v>55</v>
      </c>
      <c r="F16" s="1" t="s">
        <v>51</v>
      </c>
    </row>
    <row r="17" spans="1:6" ht="42.75" x14ac:dyDescent="0.45">
      <c r="A17" s="1" t="s">
        <v>59</v>
      </c>
      <c r="B17" s="1" t="s">
        <v>60</v>
      </c>
      <c r="C17">
        <v>975852046</v>
      </c>
      <c r="D17" s="1" t="s">
        <v>61</v>
      </c>
      <c r="E17" s="1" t="s">
        <v>55</v>
      </c>
      <c r="F17" s="1" t="s">
        <v>51</v>
      </c>
    </row>
    <row r="18" spans="1:6" ht="42.75" x14ac:dyDescent="0.45">
      <c r="A18" s="1" t="s">
        <v>62</v>
      </c>
      <c r="B18" s="1" t="s">
        <v>63</v>
      </c>
      <c r="C18">
        <v>957547267</v>
      </c>
      <c r="D18" s="1" t="s">
        <v>64</v>
      </c>
      <c r="E18" s="1" t="s">
        <v>65</v>
      </c>
      <c r="F18" s="1" t="s">
        <v>135</v>
      </c>
    </row>
    <row r="19" spans="1:6" ht="42.75" x14ac:dyDescent="0.45">
      <c r="A19" s="1" t="s">
        <v>66</v>
      </c>
      <c r="B19" s="1" t="s">
        <v>67</v>
      </c>
      <c r="C19">
        <v>988880199</v>
      </c>
      <c r="D19" s="1" t="s">
        <v>68</v>
      </c>
      <c r="E19" s="1" t="s">
        <v>69</v>
      </c>
      <c r="F19" s="1" t="s">
        <v>135</v>
      </c>
    </row>
    <row r="20" spans="1:6" ht="42.75" x14ac:dyDescent="0.45">
      <c r="A20" s="1" t="s">
        <v>70</v>
      </c>
      <c r="B20" s="1" t="s">
        <v>71</v>
      </c>
      <c r="C20">
        <v>945484313</v>
      </c>
      <c r="D20" s="1" t="s">
        <v>72</v>
      </c>
      <c r="E20" s="1" t="s">
        <v>73</v>
      </c>
      <c r="F20" s="1" t="s">
        <v>135</v>
      </c>
    </row>
    <row r="21" spans="1:6" ht="42.75" x14ac:dyDescent="0.45">
      <c r="A21" s="1" t="s">
        <v>74</v>
      </c>
      <c r="B21" s="1" t="s">
        <v>75</v>
      </c>
      <c r="C21">
        <v>954042051</v>
      </c>
      <c r="D21" s="1" t="s">
        <v>76</v>
      </c>
      <c r="E21" s="1" t="s">
        <v>77</v>
      </c>
      <c r="F21" s="1" t="s">
        <v>26</v>
      </c>
    </row>
    <row r="22" spans="1:6" ht="42.75" x14ac:dyDescent="0.45">
      <c r="A22" s="1" t="s">
        <v>78</v>
      </c>
      <c r="B22" s="1" t="s">
        <v>79</v>
      </c>
      <c r="C22">
        <v>987418750</v>
      </c>
      <c r="D22" s="1" t="s">
        <v>80</v>
      </c>
      <c r="E22" s="1" t="s">
        <v>77</v>
      </c>
      <c r="F22" s="1" t="s">
        <v>134</v>
      </c>
    </row>
    <row r="23" spans="1:6" ht="42.75" x14ac:dyDescent="0.45">
      <c r="A23" s="1" t="s">
        <v>81</v>
      </c>
      <c r="B23" s="1" t="s">
        <v>82</v>
      </c>
      <c r="C23">
        <v>993425579</v>
      </c>
      <c r="D23" s="1" t="s">
        <v>83</v>
      </c>
      <c r="E23" s="1" t="s">
        <v>84</v>
      </c>
      <c r="F23" s="1" t="s">
        <v>26</v>
      </c>
    </row>
    <row r="24" spans="1:6" ht="42.75" x14ac:dyDescent="0.45">
      <c r="A24" s="1" t="s">
        <v>85</v>
      </c>
      <c r="B24" s="1" t="s">
        <v>86</v>
      </c>
      <c r="C24">
        <v>951973607</v>
      </c>
      <c r="D24" s="1" t="s">
        <v>87</v>
      </c>
      <c r="E24" s="1" t="s">
        <v>88</v>
      </c>
      <c r="F24" s="1" t="s">
        <v>26</v>
      </c>
    </row>
    <row r="25" spans="1:6" ht="42.75" x14ac:dyDescent="0.45">
      <c r="A25" s="1" t="s">
        <v>89</v>
      </c>
      <c r="B25" s="1" t="s">
        <v>90</v>
      </c>
      <c r="C25">
        <v>984632693</v>
      </c>
      <c r="D25" s="1" t="s">
        <v>91</v>
      </c>
      <c r="E25" s="1" t="s">
        <v>88</v>
      </c>
      <c r="F25" s="1" t="s">
        <v>134</v>
      </c>
    </row>
    <row r="26" spans="1:6" ht="42.75" x14ac:dyDescent="0.45">
      <c r="A26" s="1" t="s">
        <v>92</v>
      </c>
      <c r="B26" s="1" t="s">
        <v>93</v>
      </c>
      <c r="C26">
        <v>990809669</v>
      </c>
      <c r="D26" s="1" t="s">
        <v>94</v>
      </c>
      <c r="E26" s="1" t="s">
        <v>65</v>
      </c>
      <c r="F26" s="1" t="s">
        <v>135</v>
      </c>
    </row>
    <row r="27" spans="1:6" ht="42.75" x14ac:dyDescent="0.45">
      <c r="A27" s="1" t="s">
        <v>95</v>
      </c>
      <c r="B27" s="1" t="s">
        <v>96</v>
      </c>
      <c r="C27">
        <v>945549275</v>
      </c>
      <c r="D27" s="1" t="s">
        <v>97</v>
      </c>
      <c r="E27" s="1" t="s">
        <v>88</v>
      </c>
      <c r="F27" s="1" t="s">
        <v>134</v>
      </c>
    </row>
    <row r="28" spans="1:6" ht="42.75" x14ac:dyDescent="0.45">
      <c r="A28" s="1" t="s">
        <v>98</v>
      </c>
      <c r="B28" s="1" t="s">
        <v>99</v>
      </c>
      <c r="C28">
        <v>954001104</v>
      </c>
      <c r="D28" s="1" t="s">
        <v>100</v>
      </c>
      <c r="E28" s="1" t="s">
        <v>101</v>
      </c>
      <c r="F28" s="1" t="s">
        <v>51</v>
      </c>
    </row>
    <row r="29" spans="1:6" ht="42.75" x14ac:dyDescent="0.45">
      <c r="A29" s="1" t="s">
        <v>102</v>
      </c>
      <c r="B29" s="1" t="s">
        <v>103</v>
      </c>
      <c r="C29">
        <v>999217511</v>
      </c>
      <c r="D29" s="1" t="s">
        <v>104</v>
      </c>
      <c r="E29" s="1" t="s">
        <v>105</v>
      </c>
      <c r="F29" s="1" t="s">
        <v>26</v>
      </c>
    </row>
    <row r="30" spans="1:6" ht="42.75" x14ac:dyDescent="0.45">
      <c r="A30" s="1" t="s">
        <v>106</v>
      </c>
      <c r="B30" s="1" t="s">
        <v>107</v>
      </c>
      <c r="C30">
        <v>966561589</v>
      </c>
      <c r="D30" s="1" t="s">
        <v>108</v>
      </c>
      <c r="E30" s="1" t="s">
        <v>109</v>
      </c>
      <c r="F30" s="1" t="s">
        <v>26</v>
      </c>
    </row>
    <row r="31" spans="1:6" ht="42.75" x14ac:dyDescent="0.45">
      <c r="A31" s="1" t="s">
        <v>110</v>
      </c>
      <c r="B31" s="1" t="s">
        <v>111</v>
      </c>
      <c r="C31">
        <v>979739473</v>
      </c>
      <c r="D31" s="1" t="s">
        <v>112</v>
      </c>
      <c r="E31" s="1" t="s">
        <v>113</v>
      </c>
      <c r="F31" s="1" t="s">
        <v>26</v>
      </c>
    </row>
    <row r="32" spans="1:6" ht="42.75" x14ac:dyDescent="0.45">
      <c r="A32" s="1" t="s">
        <v>114</v>
      </c>
      <c r="B32" s="1" t="s">
        <v>115</v>
      </c>
      <c r="C32">
        <v>998164999</v>
      </c>
      <c r="D32" s="1" t="s">
        <v>116</v>
      </c>
      <c r="E32" s="1" t="s">
        <v>117</v>
      </c>
      <c r="F32" s="1" t="s">
        <v>51</v>
      </c>
    </row>
    <row r="33" spans="1:6" ht="42.75" x14ac:dyDescent="0.45">
      <c r="A33" s="1" t="s">
        <v>118</v>
      </c>
      <c r="B33" s="1" t="s">
        <v>119</v>
      </c>
      <c r="C33">
        <v>942432552</v>
      </c>
      <c r="D33" s="1" t="s">
        <v>120</v>
      </c>
      <c r="E33" s="1" t="s">
        <v>40</v>
      </c>
      <c r="F33" s="1" t="s">
        <v>26</v>
      </c>
    </row>
    <row r="34" spans="1:6" ht="42.75" x14ac:dyDescent="0.45">
      <c r="A34" s="1" t="s">
        <v>121</v>
      </c>
      <c r="B34" s="1" t="s">
        <v>122</v>
      </c>
      <c r="C34">
        <v>964778680</v>
      </c>
      <c r="D34" s="1" t="s">
        <v>123</v>
      </c>
      <c r="E34" s="1" t="s">
        <v>40</v>
      </c>
      <c r="F34" s="1" t="s">
        <v>51</v>
      </c>
    </row>
    <row r="35" spans="1:6" ht="42.75" x14ac:dyDescent="0.45">
      <c r="A35" s="1" t="s">
        <v>124</v>
      </c>
      <c r="B35" s="1" t="s">
        <v>125</v>
      </c>
      <c r="C35">
        <v>983135683</v>
      </c>
      <c r="D35" s="1" t="s">
        <v>126</v>
      </c>
      <c r="E35" s="1" t="s">
        <v>40</v>
      </c>
      <c r="F35" s="1" t="s">
        <v>51</v>
      </c>
    </row>
    <row r="36" spans="1:6" ht="42.75" x14ac:dyDescent="0.45">
      <c r="A36" s="1" t="s">
        <v>127</v>
      </c>
      <c r="B36" s="1" t="s">
        <v>128</v>
      </c>
      <c r="C36">
        <v>984812906</v>
      </c>
      <c r="D36" s="1" t="s">
        <v>129</v>
      </c>
      <c r="E36" s="1" t="s">
        <v>40</v>
      </c>
      <c r="F36" s="1" t="s">
        <v>26</v>
      </c>
    </row>
  </sheetData>
  <autoFilter ref="A2:F37" xr:uid="{00000000-0009-0000-0000-000000000000}"/>
  <pageMargins left="0.7" right="0.7" top="0.75" bottom="0.75" header="0.3" footer="0.3"/>
  <ignoredErrors>
    <ignoredError sqref="A8:B36 D8:E36 F1:F2 F11 F23:F24 F28:F36 F6 D1:E6 A1:B6 F14:F17 F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8A48-A5A4-4CD2-B2D9-4E821DC3D2CB}">
  <sheetPr filterMode="1"/>
  <dimension ref="A1:J36"/>
  <sheetViews>
    <sheetView tabSelected="1" topLeftCell="A16" workbookViewId="0">
      <selection activeCell="J34" sqref="H34:J36"/>
    </sheetView>
  </sheetViews>
  <sheetFormatPr baseColWidth="10" defaultRowHeight="14.25" x14ac:dyDescent="0.45"/>
  <cols>
    <col min="1" max="1" width="22.86328125" bestFit="1" customWidth="1"/>
    <col min="2" max="2" width="22.1328125" bestFit="1" customWidth="1"/>
    <col min="3" max="3" width="12.1328125" customWidth="1"/>
    <col min="4" max="4" width="27.73046875" customWidth="1"/>
    <col min="5" max="5" width="21.59765625" customWidth="1"/>
    <col min="6" max="6" width="30.19921875" bestFit="1" customWidth="1"/>
  </cols>
  <sheetData>
    <row r="1" spans="1:9" x14ac:dyDescent="0.45">
      <c r="A1" s="5" t="s">
        <v>6</v>
      </c>
      <c r="B1" s="6" t="s">
        <v>7</v>
      </c>
      <c r="C1" s="6" t="s">
        <v>8</v>
      </c>
      <c r="D1" s="6" t="s">
        <v>9</v>
      </c>
      <c r="E1" s="6" t="s">
        <v>4</v>
      </c>
      <c r="F1" s="7" t="s">
        <v>5</v>
      </c>
      <c r="G1" s="19" t="s">
        <v>139</v>
      </c>
      <c r="H1" s="19" t="s">
        <v>140</v>
      </c>
      <c r="I1" s="19" t="s">
        <v>141</v>
      </c>
    </row>
    <row r="2" spans="1:9" x14ac:dyDescent="0.45">
      <c r="A2" s="8" t="s">
        <v>11</v>
      </c>
      <c r="B2" s="9" t="s">
        <v>12</v>
      </c>
      <c r="C2" s="9">
        <v>996337108</v>
      </c>
      <c r="D2" s="18" t="s">
        <v>13</v>
      </c>
      <c r="E2" s="9" t="s">
        <v>14</v>
      </c>
      <c r="F2" s="10" t="s">
        <v>134</v>
      </c>
      <c r="G2" s="20">
        <v>1</v>
      </c>
      <c r="H2" s="32" t="str">
        <f>IF(SUM(G2:G7)&gt;=5,"ok","PENDIENTE")</f>
        <v>ok</v>
      </c>
    </row>
    <row r="3" spans="1:9" x14ac:dyDescent="0.45">
      <c r="A3" s="11" t="s">
        <v>15</v>
      </c>
      <c r="B3" s="12" t="s">
        <v>16</v>
      </c>
      <c r="C3" s="12">
        <v>999955964</v>
      </c>
      <c r="D3" s="18" t="s">
        <v>17</v>
      </c>
      <c r="E3" s="12" t="s">
        <v>14</v>
      </c>
      <c r="F3" s="13" t="s">
        <v>134</v>
      </c>
      <c r="G3" s="21">
        <v>1</v>
      </c>
      <c r="H3" s="32"/>
    </row>
    <row r="4" spans="1:9" x14ac:dyDescent="0.45">
      <c r="A4" s="8" t="s">
        <v>95</v>
      </c>
      <c r="B4" s="9" t="s">
        <v>96</v>
      </c>
      <c r="C4" s="9">
        <v>945549275</v>
      </c>
      <c r="D4" s="18" t="s">
        <v>97</v>
      </c>
      <c r="E4" s="9" t="s">
        <v>88</v>
      </c>
      <c r="F4" s="10" t="s">
        <v>134</v>
      </c>
      <c r="G4" s="20">
        <v>1</v>
      </c>
      <c r="H4" s="32"/>
    </row>
    <row r="5" spans="1:9" x14ac:dyDescent="0.45">
      <c r="A5" s="11" t="s">
        <v>89</v>
      </c>
      <c r="B5" s="12" t="s">
        <v>90</v>
      </c>
      <c r="C5" s="12">
        <v>984632693</v>
      </c>
      <c r="D5" s="18" t="s">
        <v>91</v>
      </c>
      <c r="E5" s="12" t="s">
        <v>88</v>
      </c>
      <c r="F5" s="13" t="s">
        <v>134</v>
      </c>
      <c r="G5" s="21">
        <v>1</v>
      </c>
      <c r="H5" s="32"/>
    </row>
    <row r="6" spans="1:9" x14ac:dyDescent="0.45">
      <c r="A6" s="8" t="s">
        <v>27</v>
      </c>
      <c r="B6" s="9" t="s">
        <v>28</v>
      </c>
      <c r="C6" s="9">
        <v>967343270</v>
      </c>
      <c r="D6" s="18" t="s">
        <v>29</v>
      </c>
      <c r="E6" s="9" t="s">
        <v>30</v>
      </c>
      <c r="F6" s="10" t="s">
        <v>134</v>
      </c>
      <c r="G6" s="20">
        <v>1</v>
      </c>
      <c r="H6" s="32"/>
    </row>
    <row r="7" spans="1:9" x14ac:dyDescent="0.45">
      <c r="A7" s="11" t="s">
        <v>78</v>
      </c>
      <c r="B7" s="12" t="s">
        <v>79</v>
      </c>
      <c r="C7" s="12">
        <v>987418750</v>
      </c>
      <c r="D7" s="18" t="s">
        <v>80</v>
      </c>
      <c r="E7" s="12" t="s">
        <v>77</v>
      </c>
      <c r="F7" s="13" t="s">
        <v>134</v>
      </c>
      <c r="G7" s="24">
        <v>1</v>
      </c>
      <c r="H7" s="32"/>
    </row>
    <row r="8" spans="1:9" x14ac:dyDescent="0.45">
      <c r="A8" s="8" t="s">
        <v>124</v>
      </c>
      <c r="B8" s="9" t="s">
        <v>125</v>
      </c>
      <c r="C8" s="9">
        <v>983135683</v>
      </c>
      <c r="D8" s="18" t="s">
        <v>126</v>
      </c>
      <c r="E8" s="9" t="s">
        <v>40</v>
      </c>
      <c r="F8" s="10" t="s">
        <v>51</v>
      </c>
      <c r="G8" s="22">
        <v>1</v>
      </c>
      <c r="H8" s="32" t="str">
        <f>IF(SUM(G8:G15)&gt;=5,"ok","pendiente")</f>
        <v>ok</v>
      </c>
      <c r="I8">
        <v>1</v>
      </c>
    </row>
    <row r="9" spans="1:9" x14ac:dyDescent="0.45">
      <c r="A9" s="11" t="s">
        <v>121</v>
      </c>
      <c r="B9" s="12" t="s">
        <v>122</v>
      </c>
      <c r="C9" s="12">
        <v>964778680</v>
      </c>
      <c r="D9" s="18" t="s">
        <v>123</v>
      </c>
      <c r="E9" s="12" t="s">
        <v>40</v>
      </c>
      <c r="F9" s="13" t="s">
        <v>51</v>
      </c>
      <c r="G9" s="21">
        <v>1</v>
      </c>
      <c r="H9" s="32"/>
      <c r="I9">
        <v>1</v>
      </c>
    </row>
    <row r="10" spans="1:9" hidden="1" x14ac:dyDescent="0.45">
      <c r="A10" s="8" t="s">
        <v>114</v>
      </c>
      <c r="B10" s="9" t="s">
        <v>115</v>
      </c>
      <c r="C10" s="9">
        <v>998164999</v>
      </c>
      <c r="D10" s="18" t="s">
        <v>116</v>
      </c>
      <c r="E10" s="9" t="s">
        <v>117</v>
      </c>
      <c r="F10" s="10" t="s">
        <v>51</v>
      </c>
      <c r="H10" s="32"/>
    </row>
    <row r="11" spans="1:9" x14ac:dyDescent="0.45">
      <c r="A11" s="11" t="s">
        <v>98</v>
      </c>
      <c r="B11" s="12" t="s">
        <v>99</v>
      </c>
      <c r="C11" s="12">
        <v>954001104</v>
      </c>
      <c r="D11" s="18" t="s">
        <v>100</v>
      </c>
      <c r="E11" s="12" t="s">
        <v>101</v>
      </c>
      <c r="F11" s="13" t="s">
        <v>51</v>
      </c>
      <c r="G11">
        <v>1</v>
      </c>
      <c r="H11" s="32"/>
      <c r="I11">
        <v>1</v>
      </c>
    </row>
    <row r="12" spans="1:9" x14ac:dyDescent="0.45">
      <c r="A12" s="8" t="s">
        <v>59</v>
      </c>
      <c r="B12" s="9" t="s">
        <v>60</v>
      </c>
      <c r="C12" s="9">
        <v>975852046</v>
      </c>
      <c r="D12" s="18" t="s">
        <v>61</v>
      </c>
      <c r="E12" s="9" t="s">
        <v>55</v>
      </c>
      <c r="F12" s="10" t="s">
        <v>51</v>
      </c>
      <c r="G12">
        <v>1</v>
      </c>
      <c r="H12" s="32"/>
      <c r="I12">
        <v>1</v>
      </c>
    </row>
    <row r="13" spans="1:9" x14ac:dyDescent="0.45">
      <c r="A13" s="11" t="s">
        <v>56</v>
      </c>
      <c r="B13" s="12" t="s">
        <v>57</v>
      </c>
      <c r="C13" s="12">
        <v>971331460</v>
      </c>
      <c r="D13" s="18" t="s">
        <v>58</v>
      </c>
      <c r="E13" s="12" t="s">
        <v>55</v>
      </c>
      <c r="F13" s="13" t="s">
        <v>51</v>
      </c>
      <c r="G13">
        <v>1</v>
      </c>
      <c r="H13" s="32"/>
    </row>
    <row r="14" spans="1:9" x14ac:dyDescent="0.45">
      <c r="A14" s="29" t="s">
        <v>52</v>
      </c>
      <c r="B14" s="25" t="s">
        <v>53</v>
      </c>
      <c r="C14" s="25">
        <v>971500467</v>
      </c>
      <c r="D14" s="31" t="s">
        <v>54</v>
      </c>
      <c r="E14" s="25" t="s">
        <v>55</v>
      </c>
      <c r="F14" s="26" t="s">
        <v>51</v>
      </c>
      <c r="G14">
        <v>1</v>
      </c>
      <c r="H14" s="32"/>
      <c r="I14">
        <v>1</v>
      </c>
    </row>
    <row r="15" spans="1:9" hidden="1" x14ac:dyDescent="0.45">
      <c r="A15" s="30" t="s">
        <v>47</v>
      </c>
      <c r="B15" s="27" t="s">
        <v>48</v>
      </c>
      <c r="C15" s="27">
        <v>959438088</v>
      </c>
      <c r="D15" s="31" t="s">
        <v>49</v>
      </c>
      <c r="E15" s="27" t="s">
        <v>50</v>
      </c>
      <c r="F15" s="28" t="s">
        <v>51</v>
      </c>
      <c r="H15" s="32"/>
    </row>
    <row r="16" spans="1:9" x14ac:dyDescent="0.45">
      <c r="A16" s="8" t="s">
        <v>92</v>
      </c>
      <c r="B16" s="9" t="s">
        <v>93</v>
      </c>
      <c r="C16" s="9">
        <v>990809669</v>
      </c>
      <c r="D16" s="18" t="s">
        <v>94</v>
      </c>
      <c r="E16" s="9" t="s">
        <v>21</v>
      </c>
      <c r="F16" s="10" t="s">
        <v>135</v>
      </c>
      <c r="G16" s="22">
        <v>1</v>
      </c>
      <c r="H16" s="32" t="str">
        <f>IF(SUM(G16:G21)&gt;=5,"ok","pendiente")</f>
        <v>ok</v>
      </c>
      <c r="I16">
        <v>1</v>
      </c>
    </row>
    <row r="17" spans="1:9" hidden="1" x14ac:dyDescent="0.45">
      <c r="A17" s="11" t="s">
        <v>70</v>
      </c>
      <c r="B17" s="12" t="s">
        <v>71</v>
      </c>
      <c r="C17" s="12">
        <v>945484313</v>
      </c>
      <c r="D17" s="18" t="s">
        <v>72</v>
      </c>
      <c r="E17" s="12" t="s">
        <v>21</v>
      </c>
      <c r="F17" s="13" t="s">
        <v>135</v>
      </c>
      <c r="H17" s="32"/>
    </row>
    <row r="18" spans="1:9" x14ac:dyDescent="0.45">
      <c r="A18" s="8" t="s">
        <v>18</v>
      </c>
      <c r="B18" s="9" t="s">
        <v>19</v>
      </c>
      <c r="C18" s="9">
        <v>936798964</v>
      </c>
      <c r="D18" s="18" t="s">
        <v>20</v>
      </c>
      <c r="E18" s="9" t="s">
        <v>21</v>
      </c>
      <c r="F18" s="10" t="s">
        <v>135</v>
      </c>
      <c r="G18">
        <v>1</v>
      </c>
      <c r="H18" s="32"/>
      <c r="I18">
        <v>1</v>
      </c>
    </row>
    <row r="19" spans="1:9" x14ac:dyDescent="0.45">
      <c r="A19" s="11" t="s">
        <v>66</v>
      </c>
      <c r="B19" s="12" t="s">
        <v>67</v>
      </c>
      <c r="C19" s="12">
        <v>988880199</v>
      </c>
      <c r="D19" s="18" t="s">
        <v>68</v>
      </c>
      <c r="E19" s="12" t="s">
        <v>69</v>
      </c>
      <c r="F19" s="13" t="s">
        <v>135</v>
      </c>
      <c r="G19" s="24">
        <v>1</v>
      </c>
      <c r="H19" s="32"/>
      <c r="I19">
        <v>1</v>
      </c>
    </row>
    <row r="20" spans="1:9" x14ac:dyDescent="0.45">
      <c r="A20" s="8" t="s">
        <v>62</v>
      </c>
      <c r="B20" s="9" t="s">
        <v>63</v>
      </c>
      <c r="C20" s="9">
        <v>957547267</v>
      </c>
      <c r="D20" s="18" t="s">
        <v>64</v>
      </c>
      <c r="E20" s="9" t="s">
        <v>21</v>
      </c>
      <c r="F20" s="10" t="s">
        <v>135</v>
      </c>
      <c r="G20" s="20">
        <v>1</v>
      </c>
      <c r="H20" s="32"/>
      <c r="I20">
        <v>1</v>
      </c>
    </row>
    <row r="21" spans="1:9" x14ac:dyDescent="0.45">
      <c r="A21" s="8" t="s">
        <v>44</v>
      </c>
      <c r="B21" s="9" t="s">
        <v>45</v>
      </c>
      <c r="C21" s="9">
        <v>933614017</v>
      </c>
      <c r="D21" s="18" t="s">
        <v>46</v>
      </c>
      <c r="E21" s="9" t="s">
        <v>21</v>
      </c>
      <c r="F21" s="10" t="s">
        <v>135</v>
      </c>
      <c r="G21" s="20">
        <v>1</v>
      </c>
      <c r="H21" s="32"/>
      <c r="I21">
        <v>1</v>
      </c>
    </row>
    <row r="22" spans="1:9" x14ac:dyDescent="0.45">
      <c r="A22" s="8" t="s">
        <v>127</v>
      </c>
      <c r="B22" s="9" t="s">
        <v>128</v>
      </c>
      <c r="C22" s="9">
        <v>984812906</v>
      </c>
      <c r="D22" s="9" t="s">
        <v>129</v>
      </c>
      <c r="E22" s="9" t="s">
        <v>40</v>
      </c>
      <c r="F22" s="10" t="s">
        <v>26</v>
      </c>
      <c r="G22">
        <v>1</v>
      </c>
      <c r="H22" s="32" t="str">
        <f>IF(SUM(G22:G31)&gt;=5,"ok","pendiente")</f>
        <v>ok</v>
      </c>
      <c r="I22">
        <v>1</v>
      </c>
    </row>
    <row r="23" spans="1:9" hidden="1" x14ac:dyDescent="0.45">
      <c r="A23" s="11" t="s">
        <v>118</v>
      </c>
      <c r="B23" s="12" t="s">
        <v>119</v>
      </c>
      <c r="C23" s="12">
        <v>942432552</v>
      </c>
      <c r="D23" s="12" t="s">
        <v>120</v>
      </c>
      <c r="E23" s="12" t="s">
        <v>40</v>
      </c>
      <c r="F23" s="13" t="s">
        <v>26</v>
      </c>
      <c r="H23" s="32"/>
    </row>
    <row r="24" spans="1:9" hidden="1" x14ac:dyDescent="0.45">
      <c r="A24" s="8" t="s">
        <v>110</v>
      </c>
      <c r="B24" s="9" t="s">
        <v>111</v>
      </c>
      <c r="C24" s="9">
        <v>979739473</v>
      </c>
      <c r="D24" s="9" t="s">
        <v>112</v>
      </c>
      <c r="E24" s="9" t="s">
        <v>113</v>
      </c>
      <c r="F24" s="10" t="s">
        <v>26</v>
      </c>
      <c r="H24" s="32"/>
    </row>
    <row r="25" spans="1:9" x14ac:dyDescent="0.45">
      <c r="A25" s="11" t="s">
        <v>22</v>
      </c>
      <c r="B25" s="12" t="s">
        <v>23</v>
      </c>
      <c r="C25" s="12">
        <v>971019431</v>
      </c>
      <c r="D25" s="12" t="s">
        <v>24</v>
      </c>
      <c r="E25" s="12" t="s">
        <v>25</v>
      </c>
      <c r="F25" s="13" t="s">
        <v>26</v>
      </c>
      <c r="G25" s="23">
        <v>1</v>
      </c>
      <c r="H25" s="32"/>
      <c r="I25">
        <v>1</v>
      </c>
    </row>
    <row r="26" spans="1:9" hidden="1" x14ac:dyDescent="0.45">
      <c r="A26" s="8" t="s">
        <v>106</v>
      </c>
      <c r="B26" s="9" t="s">
        <v>107</v>
      </c>
      <c r="C26" s="9">
        <v>966561589</v>
      </c>
      <c r="D26" s="9" t="s">
        <v>108</v>
      </c>
      <c r="E26" s="9" t="s">
        <v>109</v>
      </c>
      <c r="F26" s="10" t="s">
        <v>26</v>
      </c>
      <c r="H26" s="32"/>
    </row>
    <row r="27" spans="1:9" x14ac:dyDescent="0.45">
      <c r="A27" s="11" t="s">
        <v>102</v>
      </c>
      <c r="B27" s="12" t="s">
        <v>103</v>
      </c>
      <c r="C27" s="12">
        <v>999217511</v>
      </c>
      <c r="D27" s="12" t="s">
        <v>104</v>
      </c>
      <c r="E27" s="12" t="s">
        <v>88</v>
      </c>
      <c r="F27" s="13" t="s">
        <v>26</v>
      </c>
      <c r="G27" s="24">
        <v>1</v>
      </c>
      <c r="H27" s="32"/>
      <c r="I27">
        <v>1</v>
      </c>
    </row>
    <row r="28" spans="1:9" x14ac:dyDescent="0.45">
      <c r="A28" s="8" t="s">
        <v>85</v>
      </c>
      <c r="B28" s="9" t="s">
        <v>86</v>
      </c>
      <c r="C28" s="9">
        <v>951973607</v>
      </c>
      <c r="D28" s="9" t="s">
        <v>87</v>
      </c>
      <c r="E28" s="9" t="s">
        <v>88</v>
      </c>
      <c r="F28" s="10" t="s">
        <v>26</v>
      </c>
      <c r="G28" s="20">
        <v>1</v>
      </c>
      <c r="H28" s="32"/>
      <c r="I28">
        <v>1</v>
      </c>
    </row>
    <row r="29" spans="1:9" x14ac:dyDescent="0.45">
      <c r="A29" s="11" t="s">
        <v>81</v>
      </c>
      <c r="B29" s="12" t="s">
        <v>82</v>
      </c>
      <c r="C29" s="12">
        <v>993425579</v>
      </c>
      <c r="D29" s="12" t="s">
        <v>83</v>
      </c>
      <c r="E29" s="12" t="s">
        <v>84</v>
      </c>
      <c r="F29" s="13" t="s">
        <v>26</v>
      </c>
      <c r="G29">
        <v>1</v>
      </c>
      <c r="H29" s="32"/>
    </row>
    <row r="30" spans="1:9" x14ac:dyDescent="0.45">
      <c r="A30" s="8" t="s">
        <v>37</v>
      </c>
      <c r="B30" s="9" t="s">
        <v>38</v>
      </c>
      <c r="C30" s="9">
        <v>98905668</v>
      </c>
      <c r="D30" s="9" t="s">
        <v>39</v>
      </c>
      <c r="E30" s="9" t="s">
        <v>40</v>
      </c>
      <c r="F30" s="10" t="s">
        <v>26</v>
      </c>
      <c r="G30" s="22">
        <v>1</v>
      </c>
      <c r="H30" s="32"/>
      <c r="I30">
        <v>1</v>
      </c>
    </row>
    <row r="31" spans="1:9" hidden="1" x14ac:dyDescent="0.45">
      <c r="A31" s="11" t="s">
        <v>74</v>
      </c>
      <c r="B31" s="12" t="s">
        <v>75</v>
      </c>
      <c r="C31" s="12">
        <v>954042051</v>
      </c>
      <c r="D31" s="12" t="s">
        <v>76</v>
      </c>
      <c r="E31" s="12" t="s">
        <v>77</v>
      </c>
      <c r="F31" s="13" t="s">
        <v>26</v>
      </c>
      <c r="H31" s="32"/>
    </row>
    <row r="34" spans="8:10" x14ac:dyDescent="0.45">
      <c r="J34">
        <v>1400000</v>
      </c>
    </row>
    <row r="35" spans="8:10" x14ac:dyDescent="0.45">
      <c r="H35">
        <v>28</v>
      </c>
      <c r="I35">
        <v>15000</v>
      </c>
      <c r="J35">
        <f>I35*H35</f>
        <v>420000</v>
      </c>
    </row>
    <row r="36" spans="8:10" x14ac:dyDescent="0.45">
      <c r="J36">
        <f>J34-J35</f>
        <v>980000</v>
      </c>
    </row>
  </sheetData>
  <autoFilter ref="A1:H31" xr:uid="{2A9B8A48-A5A4-4CD2-B2D9-4E821DC3D2CB}">
    <filterColumn colId="6">
      <customFilters>
        <customFilter operator="notEqual" val=" "/>
      </customFilters>
    </filterColumn>
  </autoFilter>
  <mergeCells count="4">
    <mergeCell ref="H2:H7"/>
    <mergeCell ref="H16:H21"/>
    <mergeCell ref="H22:H31"/>
    <mergeCell ref="H8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Lunes PM</vt:lpstr>
      <vt:lpstr>Martes AM</vt:lpstr>
      <vt:lpstr>Lunes AM</vt:lpstr>
      <vt:lpstr>Martes PM</vt:lpstr>
      <vt:lpstr>Hoja1</vt:lpstr>
      <vt:lpstr>Sheet0</vt:lpstr>
      <vt:lpstr>ConvocadosConfirmados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Camila Utreras</cp:lastModifiedBy>
  <dcterms:created xsi:type="dcterms:W3CDTF">2025-11-20T19:29:50Z</dcterms:created>
  <dcterms:modified xsi:type="dcterms:W3CDTF">2026-01-14T23:22:53Z</dcterms:modified>
</cp:coreProperties>
</file>