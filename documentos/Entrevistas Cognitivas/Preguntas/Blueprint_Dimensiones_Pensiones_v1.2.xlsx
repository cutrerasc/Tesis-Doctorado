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hidePivotFieldList="1" defaultThemeVersion="124226"/>
  <mc:AlternateContent xmlns:mc="http://schemas.openxmlformats.org/markup-compatibility/2006">
    <mc:Choice Requires="x15">
      <x15ac:absPath xmlns:x15ac="http://schemas.microsoft.com/office/spreadsheetml/2010/11/ac" url="https://d.docs.live.net/21a7d57e8591b932/Escritorio/CICS/2025/Tesis/Objetivos de Aprendizaje/documentos/Entrevistas Cognitivas/Preguntas/"/>
    </mc:Choice>
  </mc:AlternateContent>
  <xr:revisionPtr revIDLastSave="488" documentId="8_{49FE6B2B-4DD0-4F5F-9CEB-ECD46566195A}" xr6:coauthVersionLast="47" xr6:coauthVersionMax="47" xr10:uidLastSave="{973EAA3A-66EE-4E09-9737-77F45FB4301C}"/>
  <bookViews>
    <workbookView xWindow="-120" yWindow="-120" windowWidth="29040" windowHeight="15720" firstSheet="2" activeTab="2" xr2:uid="{00000000-000D-0000-FFFF-FFFF00000000}"/>
  </bookViews>
  <sheets>
    <sheet name="Dimensiones" sheetId="2" state="hidden" r:id="rId1"/>
    <sheet name="Blueprint" sheetId="6" state="hidden" r:id="rId2"/>
    <sheet name="BluePrint_VF" sheetId="8" r:id="rId3"/>
    <sheet name="Anexo Preguntas" sheetId="9" state="hidden" r:id="rId4"/>
    <sheet name="Hoja2" sheetId="10" r:id="rId5"/>
    <sheet name="Registro de Items" sheetId="7" state="hidden" r:id="rId6"/>
    <sheet name="Mapa_Anexo" sheetId="5" state="hidden" r:id="rId7"/>
  </sheets>
  <definedNames>
    <definedName name="_xlnm._FilterDatabase" localSheetId="3" hidden="1">'Anexo Preguntas'!$A$1:$F$81</definedName>
    <definedName name="_xlnm._FilterDatabase" localSheetId="5" hidden="1">'Registro de Items'!$A$1:$S$51</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8" l="1"/>
  <c r="F8" i="8"/>
  <c r="H12" i="6"/>
  <c r="F12" i="6"/>
</calcChain>
</file>

<file path=xl/sharedStrings.xml><?xml version="1.0" encoding="utf-8"?>
<sst xmlns="http://schemas.openxmlformats.org/spreadsheetml/2006/main" count="1447" uniqueCount="630">
  <si>
    <t>DimID</t>
  </si>
  <si>
    <t>Dimensión</t>
  </si>
  <si>
    <t>Descripción</t>
  </si>
  <si>
    <t>Anexo items (IDs)</t>
  </si>
  <si>
    <t>D1</t>
  </si>
  <si>
    <t>D2</t>
  </si>
  <si>
    <t>D3</t>
  </si>
  <si>
    <t>D4</t>
  </si>
  <si>
    <t>D5</t>
  </si>
  <si>
    <t>D6</t>
  </si>
  <si>
    <t>D7</t>
  </si>
  <si>
    <t>D8</t>
  </si>
  <si>
    <t>D9</t>
  </si>
  <si>
    <t>D10</t>
  </si>
  <si>
    <t>D11</t>
  </si>
  <si>
    <t>D12</t>
  </si>
  <si>
    <t>D13</t>
  </si>
  <si>
    <t>D14</t>
  </si>
  <si>
    <t>Conceptos generales de pensión</t>
  </si>
  <si>
    <t>Entidades y reguladores</t>
  </si>
  <si>
    <t>Ahorro previsional y saldo</t>
  </si>
  <si>
    <t>Proceso de solicitud y SCOMP (inicio–ofertas)</t>
  </si>
  <si>
    <t>Certificado de Ofertas y decisiones</t>
  </si>
  <si>
    <t>Finalización y pagos</t>
  </si>
  <si>
    <t>Modalidades de pensión (RP/RV)</t>
  </si>
  <si>
    <t>Riesgos y parámetros técnicos</t>
  </si>
  <si>
    <t>Modalidades combinadas</t>
  </si>
  <si>
    <t>Beneficiarios y sobrevivencia</t>
  </si>
  <si>
    <t>Herencia previsional</t>
  </si>
  <si>
    <t>Ahorro previsional voluntario (APV) y movilidad</t>
  </si>
  <si>
    <t>Excedente de Libre Disposición (ELD)</t>
  </si>
  <si>
    <t>Comisiones y transparencia</t>
  </si>
  <si>
    <t>Definiciones base: pensión, pensión autofinanciada.</t>
  </si>
  <si>
    <t>SP, CMF, AFP, Compañías de seguros, SCOMP; roles y diferencias.</t>
  </si>
  <si>
    <t>Cotizaciones obligatorias, saldo de cuenta individual.</t>
  </si>
  <si>
    <t>Solicitud en AFP, Certificado de Saldo, ingreso al SCOMP y solicitud de ofertas.</t>
  </si>
  <si>
    <t>Beneficiarios legales, declaración, pensión de sobrevivencia y cálculo base.</t>
  </si>
  <si>
    <t>Quién recibe, cómo se calcula.</t>
  </si>
  <si>
    <t>APV y movilidad de fondos para pensión.</t>
  </si>
  <si>
    <t>Definición, cálculo, tratamiento tributario e impacto.</t>
  </si>
  <si>
    <t>Asesores, comisiones de AFP/aseguradoras e impacto.</t>
  </si>
  <si>
    <t>1-2</t>
  </si>
  <si>
    <t>3-6,13</t>
  </si>
  <si>
    <t>7-8</t>
  </si>
  <si>
    <t>52-55</t>
  </si>
  <si>
    <t>56-58</t>
  </si>
  <si>
    <t>59-60</t>
  </si>
  <si>
    <t>61-65</t>
  </si>
  <si>
    <t>66-70</t>
  </si>
  <si>
    <t>Comprensión</t>
  </si>
  <si>
    <t>Aplicación</t>
  </si>
  <si>
    <t>F</t>
  </si>
  <si>
    <t>M</t>
  </si>
  <si>
    <t>Item Anexo (ID)</t>
  </si>
  <si>
    <t>Modalidades de pensión (RP/RV/RP+RVI/RT+RVD)</t>
  </si>
  <si>
    <t>Proceso de Pensión</t>
  </si>
  <si>
    <t>9-16, 19-22, 24,25</t>
  </si>
  <si>
    <t>Aportes Voluntarios</t>
  </si>
  <si>
    <t xml:space="preserve">Comisiones </t>
  </si>
  <si>
    <t>4 modalidades de pensión y otros conceptos</t>
  </si>
  <si>
    <t>28-29,30-36,43-51</t>
  </si>
  <si>
    <t>ÁreaID</t>
  </si>
  <si>
    <t>Área temática</t>
  </si>
  <si>
    <t>Objetivo de aprendizaje (resumen)</t>
  </si>
  <si>
    <t>Ítems · Comprensión</t>
  </si>
  <si>
    <t>Ítems · Aplicación</t>
  </si>
  <si>
    <t>Total ítems</t>
  </si>
  <si>
    <t>Dificultad (F/M/A)</t>
  </si>
  <si>
    <t>Observaciones</t>
  </si>
  <si>
    <t xml:space="preserve">Comprender definiciones base (jubilación, qué es pensión, etc) </t>
  </si>
  <si>
    <t>Tiempo estimado (seg)</t>
  </si>
  <si>
    <t xml:space="preserve">Pregunta Comun para todos los perfiles </t>
  </si>
  <si>
    <t xml:space="preserve">Comprender cuales son las entidades que rigen el sistema </t>
  </si>
  <si>
    <t xml:space="preserve">Comprender de dónde proviene el dinero para su jubilación </t>
  </si>
  <si>
    <t>Comprender cuál es el proceso en terminos generales y los pasos a seguir al momento de jubilar</t>
  </si>
  <si>
    <t xml:space="preserve">Pregunta diferenciada por perfil (con o sin derecho a SCOMP) </t>
  </si>
  <si>
    <t xml:space="preserve">Comprender cuales y como funcionan las distintas modalidades de pensión </t>
  </si>
  <si>
    <t>B</t>
  </si>
  <si>
    <t>A</t>
  </si>
  <si>
    <t>C</t>
  </si>
  <si>
    <t xml:space="preserve">Comprender quienes son los beneficiarios y cuánde se recibe pensión de sobrevivencia </t>
  </si>
  <si>
    <t xml:space="preserve">Pregunta diferenciada por perfil (con o sin beneficiarios legales) </t>
  </si>
  <si>
    <t>Comprender quien recibe herencia y cómo se paga esta</t>
  </si>
  <si>
    <t xml:space="preserve">Comprender cuales son los aportes voluntarios y cómo se relacionan con la pensión </t>
  </si>
  <si>
    <t xml:space="preserve">Pregunta diferenciada por perfil (con o sin aportes voluntarios) </t>
  </si>
  <si>
    <t xml:space="preserve">Comprender que es un excedente de libre disposición y los mecanismos para recibirlo </t>
  </si>
  <si>
    <t>Comprender que existen comisiones, cuáles son y porqué se cobran</t>
  </si>
  <si>
    <t>ItemID</t>
  </si>
  <si>
    <t>Versión</t>
  </si>
  <si>
    <t>Objetivo de aprendizaje (vínculo)</t>
  </si>
  <si>
    <t>Nivel cognitivo (Comprensión/Aplicación)</t>
  </si>
  <si>
    <t>Dificultad objetivo (F/M/A)</t>
  </si>
  <si>
    <t>Tipo de ítem (OM, caso breve, ordenamiento)</t>
  </si>
  <si>
    <t>Enunciado (borrador)</t>
  </si>
  <si>
    <t>Opción A</t>
  </si>
  <si>
    <t>Opción B</t>
  </si>
  <si>
    <t>Opción C</t>
  </si>
  <si>
    <t>Opción D</t>
  </si>
  <si>
    <t>Clave</t>
  </si>
  <si>
    <t>Razonamiento de la clave</t>
  </si>
  <si>
    <t>Distractores (justificación)</t>
  </si>
  <si>
    <t>Tiempo objetivo (seg)</t>
  </si>
  <si>
    <t>Notas de accesibilidad</t>
  </si>
  <si>
    <t>I01</t>
  </si>
  <si>
    <t>v0.1</t>
  </si>
  <si>
    <t>Ordena etapas clave del inicio de solicitud en AFP</t>
  </si>
  <si>
    <t>ordenamiento</t>
  </si>
  <si>
    <t>Ordena los pasos para iniciar una solicitud de pensión en una AFP.</t>
  </si>
  <si>
    <t>Elegir modalidad de pensión</t>
  </si>
  <si>
    <t>Obtener Certificado de Saldo</t>
  </si>
  <si>
    <t>Ingresar la solicitud de pensión</t>
  </si>
  <si>
    <t>Recibir propuestas y comparar</t>
  </si>
  <si>
    <t>C-B-D-A</t>
  </si>
  <si>
    <t>Primero se ingresa solicitud, luego CS; con ese documento se comparan propuestas y al final se elige.</t>
  </si>
  <si>
    <t>Errores comunes: elegir modalidad al inicio o comparar sin CS vigente.</t>
  </si>
  <si>
    <t>Fuente ≥16–18 px; alto contraste; lector de pantalla; navegación por teclado.</t>
  </si>
  <si>
    <t>Control de ordenamiento accesible (arrastrar/teclas); mostrar pasos como bloques claros.</t>
  </si>
  <si>
    <t>I02</t>
  </si>
  <si>
    <t>Comprender la necesidad de CS vigente para contratar</t>
  </si>
  <si>
    <t>OM</t>
  </si>
  <si>
    <t>“Una persona puede contratar una modalidad de pensión sin contar con Certificado de Saldo vigente.”</t>
  </si>
  <si>
    <t>El CS vigente es requisito para cotizar/contratar modalidades.</t>
  </si>
  <si>
    <t>Creencia de que basta con datos personales o un CS vencido.</t>
  </si>
  <si>
    <t>Botones grandes V/F; aleatorizar posición; sin feedback inmediato.</t>
  </si>
  <si>
    <t>I03</t>
  </si>
  <si>
    <t>Finalidad del Certificado de Saldo en el proceso</t>
  </si>
  <si>
    <t>¿Para qué se usa el Certificado de Saldo en el proceso de pensión?</t>
  </si>
  <si>
    <t>Para acreditar identidad ante IPS</t>
  </si>
  <si>
    <t>Para ingresar al SCOMP y obtener propuestas comparables</t>
  </si>
  <si>
    <t>Para fijar el monto de la PGU</t>
  </si>
  <si>
    <t>Para transferir fondos a la compañía de seguros</t>
  </si>
  <si>
    <t>El CS habilita el ingreso a SCOMP / ofertas comparables.</t>
  </si>
  <si>
    <t>Confusiones entre PGU, IPS o pagos.</t>
  </si>
  <si>
    <t>Aleatorizar alternativas; sin feedback inmediato.</t>
  </si>
  <si>
    <t>I04</t>
  </si>
  <si>
    <t>Secuencia posterior al CS</t>
  </si>
  <si>
    <t>Ana completó su solicitud en la AFP y ya tiene su Certificado de Saldo. ¿Qué corresponde a continuación?</t>
  </si>
  <si>
    <t>Firmar contrato de renta vitalicia de inmediato</t>
  </si>
  <si>
    <t>Esperar el pago de la primera pensión</t>
  </si>
  <si>
    <t>Ingresar al sistema de ofertas para comparar propuestas si corresponde</t>
  </si>
  <si>
    <t>Solicitar la PGU sin más trámites</t>
  </si>
  <si>
    <t>Con CS vigente, corresponde ingresar al sistema de ofertas (si aplica) para comparar.</t>
  </si>
  <si>
    <t>Firmar sin comparar o confundir con PGU.</t>
  </si>
  <si>
    <t>I05</t>
  </si>
  <si>
    <t>Orden correcto CS vs comparación</t>
  </si>
  <si>
    <t>“Primero se comparan propuestas y luego se obtiene el Certificado de Saldo.”</t>
  </si>
  <si>
    <t>El CS se obtiene antes; con él se comparan propuestas.</t>
  </si>
  <si>
    <t>Inversión del orden de pasos.</t>
  </si>
  <si>
    <t>Botones grandes V/F; aleatorizar posición.</t>
  </si>
  <si>
    <t>I06</t>
  </si>
  <si>
    <t>Identificar emisor del CS</t>
  </si>
  <si>
    <t>¿Quién emite el Certificado de Saldo?</t>
  </si>
  <si>
    <t>La AFP del afiliado</t>
  </si>
  <si>
    <t>La Superintendencia de Pensiones</t>
  </si>
  <si>
    <t>El IPS</t>
  </si>
  <si>
    <t>La compañía de seguros elegida</t>
  </si>
  <si>
    <t>El documento lo emite la AFP del afiliado.</t>
  </si>
  <si>
    <t>Confusión entre regulador (SP), IPS y compañías.</t>
  </si>
  <si>
    <t>I07</t>
  </si>
  <si>
    <t>Orden lógico: decisión SCOMP → comparación → contratación</t>
  </si>
  <si>
    <t>Ordena: (a) Definir si corresponde usar SCOMP; (b) Comparar propuestas; (c) Elegir modalidad y firmar.</t>
  </si>
  <si>
    <t>Definir si corresponde usar SCOMP</t>
  </si>
  <si>
    <t>Comparar propuestas</t>
  </si>
  <si>
    <t>Eligir modalidad y firmar</t>
  </si>
  <si>
    <t>A-B-C</t>
  </si>
  <si>
    <t>Primero se decide si aplica SCOMP, luego se comparan propuestas y finalmente se contrata.</t>
  </si>
  <si>
    <t>Invertir comparación/contratación; omitir verificación SCOMP.</t>
  </si>
  <si>
    <t>Control de ordenamiento accesible; bloques claros.</t>
  </si>
  <si>
    <t>I08</t>
  </si>
  <si>
    <t>Criterio de elección de modalidad adecuado al perfil</t>
  </si>
  <si>
    <t>¿Cuál criterio refleja mejor comprensión de la elección de modalidad?</t>
  </si>
  <si>
    <t>La que paga más el primer mes</t>
  </si>
  <si>
    <t>La que minimiza trámites</t>
  </si>
  <si>
    <t>La que mejor se ajusta a tu perfil (edad, beneficiarios, riesgo de longevidad, herencia) comparando propuestas</t>
  </si>
  <si>
    <t>La más mencionada por conocidos</t>
  </si>
  <si>
    <t>La elección debe ajustarse al perfil y comparación objetiva.</t>
  </si>
  <si>
    <t>Heurísticas superficiales (pago inicial, fama).</t>
  </si>
  <si>
    <t>I09</t>
  </si>
  <si>
    <t>Vigencia del CS para contratar</t>
  </si>
  <si>
    <t>“Un Certificado de Saldo vencido puede usarse sin problemas para contratar.”</t>
  </si>
  <si>
    <t>El CS debe estar vigente para los pasos posteriores.</t>
  </si>
  <si>
    <t>Confundir vigencia con existencia del documento.</t>
  </si>
  <si>
    <t>I10</t>
  </si>
  <si>
    <t>Cierre del proceso post-ofertas</t>
  </si>
  <si>
    <t>Tras recibir las propuestas comparables, ¿qué debe hacer la persona para concretar su pensión?</t>
  </si>
  <si>
    <t>Esperar que venza el certificado y reiniciar todo</t>
  </si>
  <si>
    <t>Elegir una propuesta dentro del plazo y firmar con la entidad correspondiente</t>
  </si>
  <si>
    <t>Ir al IPS a retirar el dinero</t>
  </si>
  <si>
    <t>No hacer nada; se contrata automáticamente</t>
  </si>
  <si>
    <t>Debe elegir y firmar dentro del plazo establecido.</t>
  </si>
  <si>
    <t>Creer en automatismos o pasos ajenos (IPS).</t>
  </si>
  <si>
    <t>I11</t>
  </si>
  <si>
    <t>Paso inicial con beneficiarios y SCOMP</t>
  </si>
  <si>
    <t>Tiene beneficiarios legales y derecho a SCOMP. ¿Qué hace primero tras solicitar pensión?</t>
  </si>
  <si>
    <t>Firmar contrato en compañía de seguros</t>
  </si>
  <si>
    <t>Obtener Certificado de Saldo e ingresar a SCOMP</t>
  </si>
  <si>
    <t>Solicitar la PGU</t>
  </si>
  <si>
    <t>Elegir AFP nueva</t>
  </si>
  <si>
    <t>Con beneficiarios y SCOMP, corresponde CS vigente e ingreso a SCOMP.</t>
  </si>
  <si>
    <t>Saltar a contratación sin comparar; confundir trámites.</t>
  </si>
  <si>
    <t>I12</t>
  </si>
  <si>
    <t>Impacto de beneficiarios en sobrevivencia</t>
  </si>
  <si>
    <t>Tener beneficiarios legales afecta principalmente:</t>
  </si>
  <si>
    <t>La necesidad de PGU</t>
  </si>
  <si>
    <t>El cálculo y la existencia de pensiones de sobrevivencia</t>
  </si>
  <si>
    <t>La inversión de los fondos</t>
  </si>
  <si>
    <t>La elección de AFP</t>
  </si>
  <si>
    <t>Beneficiarios determinan existencia/cálculo de sobrevivencia.</t>
  </si>
  <si>
    <t>Confundir con PGU o inversión.</t>
  </si>
  <si>
    <t>I13</t>
  </si>
  <si>
    <t>Relación modalidad–sobrevivencia con beneficiarios</t>
  </si>
  <si>
    <t>“Con beneficiarios legales, la elección de modalidad no afecta pensiones de sobrevivencia.”</t>
  </si>
  <si>
    <t>La modalidad elegida afecta cómo se paga la sobrevivencia.</t>
  </si>
  <si>
    <t>Pensar que la sobrevivencia es independiente de la modalidad.</t>
  </si>
  <si>
    <t>I14</t>
  </si>
  <si>
    <t>Qué entrega SCOMP</t>
  </si>
  <si>
    <t>SCOMP entrega:</t>
  </si>
  <si>
    <t>Un contrato único para firmar</t>
  </si>
  <si>
    <t>Propuestas comparables estandarizadas para decidir</t>
  </si>
  <si>
    <t>El pago inmediato de la pensión</t>
  </si>
  <si>
    <t>La resolución de la PGU</t>
  </si>
  <si>
    <t>El sistema estandariza propuestas comparables.</t>
  </si>
  <si>
    <t>Confundir con contrato, pago o PGU.</t>
  </si>
  <si>
    <t>I15</t>
  </si>
  <si>
    <t>Ruta sin SCOMP con beneficiarios</t>
  </si>
  <si>
    <t>No corresponde SCOMP, hay beneficiarios. ¿Qué corresponde tras obtener el Certificado de Saldo?</t>
  </si>
  <si>
    <t>Ir a compañía de seguros</t>
  </si>
  <si>
    <t>Continuar el trámite en la AFP según modalidad disponible sin SCOMP</t>
  </si>
  <si>
    <t>Solicitar traspaso a otra AFP</t>
  </si>
  <si>
    <t>Esperar notificación automática</t>
  </si>
  <si>
    <t>Sin SCOMP, se continúa el trámite en AFP según modalidades aplicables.</t>
  </si>
  <si>
    <t>Asumir que siempre se va a compañía o que todo es automático.</t>
  </si>
  <si>
    <t>I16</t>
  </si>
  <si>
    <t>Verificaciones relevantes con beneficiarios</t>
  </si>
  <si>
    <t>Con beneficiarios legales, es importante verificar:</t>
  </si>
  <si>
    <t>La vigencia del carnet</t>
  </si>
  <si>
    <t>Requisitos y cobertura de sobrevivencia según modalidad disponible</t>
  </si>
  <si>
    <t>Tasas de cambio</t>
  </si>
  <si>
    <t>Puntaje de egreso escolar</t>
  </si>
  <si>
    <t>La cobertura de sobrevivencia varía por modalidad.</t>
  </si>
  <si>
    <t>Distractores no pertinentes.</t>
  </si>
  <si>
    <t>I17</t>
  </si>
  <si>
    <t>Comparación cuando no corresponde SCOMP</t>
  </si>
  <si>
    <t>“Si no corresponde SCOMP, igualmente se deben comparar propuestas en el sistema.”</t>
  </si>
  <si>
    <t>Si no aplica SCOMP, se sigue el flujo de AFP; no hay plataforma de propuestas.</t>
  </si>
  <si>
    <t>Generalizar SCOMP a todos los casos.</t>
  </si>
  <si>
    <t>I18</t>
  </si>
  <si>
    <t>Documentación típica según caso</t>
  </si>
  <si>
    <t>¿Qué documento no es típico para este caso?</t>
  </si>
  <si>
    <t>Certificado de Saldo</t>
  </si>
  <si>
    <t>Identificación</t>
  </si>
  <si>
    <t>Comprobante de beneficiarios legales cuando aplique</t>
  </si>
  <si>
    <t>Certificado de Ofertas de SCOMP</t>
  </si>
  <si>
    <t>D</t>
  </si>
  <si>
    <t>El Certificado de Ofertas aplica cuando hay SCOMP.</t>
  </si>
  <si>
    <t>Confundir documentos base con específicos de SCOMP.</t>
  </si>
  <si>
    <t>I19</t>
  </si>
  <si>
    <t>Paso con SCOMP y sin beneficiarios</t>
  </si>
  <si>
    <t>Sin beneficiarios legales y con SCOMP. Tras obtener Certificado de Saldo:</t>
  </si>
  <si>
    <t>Ingresar a SCOMP para comparar propuestas</t>
  </si>
  <si>
    <t>Ir a IPS</t>
  </si>
  <si>
    <t>Solicitar PGU primero</t>
  </si>
  <si>
    <t>Firmar en AFP</t>
  </si>
  <si>
    <t>Corresponde ingresar a SCOMP y comparar.</t>
  </si>
  <si>
    <t>Saltar a contratación o trámites fuera del proceso.</t>
  </si>
  <si>
    <t>I20</t>
  </si>
  <si>
    <t>Criterio clave sin beneficiarios</t>
  </si>
  <si>
    <t>Sin beneficiarios legales, un criterio clave de elección es:</t>
  </si>
  <si>
    <t>Herencia asegurada siempre</t>
  </si>
  <si>
    <t>Cobertura de longevidad y nivel de pago a lo largo del tiempo</t>
  </si>
  <si>
    <t>Sugerencia de terceros</t>
  </si>
  <si>
    <t>La primera oferta</t>
  </si>
  <si>
    <t>Sin beneficiarios, pesa más la cobertura de longevidad/estabilidad.</t>
  </si>
  <si>
    <t>Heurísticas sociales o de saliencia.</t>
  </si>
  <si>
    <t>I21</t>
  </si>
  <si>
    <t>Diferencias entre modalidades con/sin beneficiarios</t>
  </si>
  <si>
    <t>“Sin beneficiarios, da lo mismo la modalidad porque todas pagan igual toda la vida.”</t>
  </si>
  <si>
    <t>Modalidades difieren en riesgos y trayectoria de pago.</t>
  </si>
  <si>
    <t>Asumir homogeneidad de modalidades.</t>
  </si>
  <si>
    <t>I22</t>
  </si>
  <si>
    <t>Cierre tras SCOMP</t>
  </si>
  <si>
    <t>Tras comparar en SCOMP, para concretar:</t>
  </si>
  <si>
    <t>Elegir una propuesta y firmar con la entidad correspondiente dentro del plazo</t>
  </si>
  <si>
    <t>Esperar renovación automática</t>
  </si>
  <si>
    <t>Volver a pedir el Certificado de Saldo sin necesidad</t>
  </si>
  <si>
    <t>Ir al IPS</t>
  </si>
  <si>
    <t>Se decide y firma en plazo; no hay automatismos.</t>
  </si>
  <si>
    <t>Creer que el sistema contrata solo o pasos ajenos.</t>
  </si>
  <si>
    <t>I23</t>
  </si>
  <si>
    <t>Ruta sin SCOMP y sin beneficiarios</t>
  </si>
  <si>
    <t>Sin SCOMP ni beneficiarios: después del Certificado de Saldo, corresponde:</t>
  </si>
  <si>
    <t>Completar el trámite en AFP según modalidad disponible</t>
  </si>
  <si>
    <t>Firmar con compañía de seguros vía SCOMP</t>
  </si>
  <si>
    <t>Traspasar fondos</t>
  </si>
  <si>
    <t>Esperar comunicación automática</t>
  </si>
  <si>
    <t>Sin SCOMP, el flujo continúa en AFP.</t>
  </si>
  <si>
    <t>Asumir que siempre interviene compañía o que es automático.</t>
  </si>
  <si>
    <t>I24</t>
  </si>
  <si>
    <t>Prioridad de criterios al elegir modalidad (perfil dado)</t>
  </si>
  <si>
    <t>En este perfil, al elegir modalidad se debe priorizar:</t>
  </si>
  <si>
    <t>Cobertura de longevidad y estabilidad del pago</t>
  </si>
  <si>
    <t>Recomendación de un amigo</t>
  </si>
  <si>
    <t>La que pague más el primer mes</t>
  </si>
  <si>
    <t>La que tenga menos papeles</t>
  </si>
  <si>
    <t>Se prioriza cobertura/estabilidad acorde al perfil.</t>
  </si>
  <si>
    <t>Heurísticas sociales o administrativas.</t>
  </si>
  <si>
    <t>I25</t>
  </si>
  <si>
    <t>CS requerido aun sin SCOMP</t>
  </si>
  <si>
    <t>“Sin SCOMP, no se requiere Certificado de Saldo.”</t>
  </si>
  <si>
    <t>El CS es base del proceso también sin SCOMP.</t>
  </si>
  <si>
    <t>Creer que el CS solo sirve para SCOMP.</t>
  </si>
  <si>
    <t>I26</t>
  </si>
  <si>
    <t>Afirmación correcta sobre sobrevivencia sin beneficiarios</t>
  </si>
  <si>
    <t>¿Cuál afirmación es correcta?</t>
  </si>
  <si>
    <t>Sin beneficiarios, no aplica pensión de sobrevivencia</t>
  </si>
  <si>
    <t>SCOMP es obligatorio en todos los casos</t>
  </si>
  <si>
    <t>PGU sustituye el proceso de pensión</t>
  </si>
  <si>
    <t>El Certificado de Saldo lo emite IPS</t>
  </si>
  <si>
    <t>La sobrevivencia requiere beneficiarios legales.</t>
  </si>
  <si>
    <t>Errores sobre obligatoriedad de SCOMP, PGU o emisor del CS.</t>
  </si>
  <si>
    <t>I27</t>
  </si>
  <si>
    <t>Vigencia del CS al enviar ofertas</t>
  </si>
  <si>
    <t>El Certificado de Saldo debe estar vigente al momento de enviar la solicitud de ofertas.</t>
  </si>
  <si>
    <t>La vigencia es requisito para el envío de ofertas.</t>
  </si>
  <si>
    <t>Minimizar la importancia de la vigencia.</t>
  </si>
  <si>
    <t>I28</t>
  </si>
  <si>
    <t>Acción al enviar solicitud cuando corresponde SCOMP</t>
  </si>
  <si>
    <t>Si tu caso corresponde a SCOMP, al enviar la solicitud debes:</t>
  </si>
  <si>
    <t>Continuar directamente en AFP sin SCOMP</t>
  </si>
  <si>
    <t>Ingresar al sistema de ofertas comparables para recibir propuestas</t>
  </si>
  <si>
    <t>Firmar de inmediato una renta vitalicia</t>
  </si>
  <si>
    <t>El flujo correcto es ingresar a ofertas y comparar.</t>
  </si>
  <si>
    <t>Saltar a contratación o ignorar SCOMP.</t>
  </si>
  <si>
    <t>I29</t>
  </si>
  <si>
    <t>Declaración de beneficiarios en formulario</t>
  </si>
  <si>
    <t>Si tienes beneficiarios legales, en el formulario corresponde marcar que sí y registrar los datos solicitados.</t>
  </si>
  <si>
    <t>Debe declararse para efectos de sobrevivencia y cálculo.</t>
  </si>
  <si>
    <t>Omitir declaración por considerarla “opcional”.</t>
  </si>
  <si>
    <t>I30</t>
  </si>
  <si>
    <t>Selección de modalidades a evaluar para propuestas comparables</t>
  </si>
  <si>
    <t>Para recibir propuestas comparables, debes seleccionar las modalidades que aplican a tu caso (p. ej., RVI, RP, Mixta).</t>
  </si>
  <si>
    <t>La selección acota el set de propuestas al perfil y modalidades pertinentes.</t>
  </si>
  <si>
    <t>Pensar que el sistema infiere sin selección explícita.</t>
  </si>
  <si>
    <t>I31</t>
  </si>
  <si>
    <t>Comisiones</t>
  </si>
  <si>
    <t>Declaración de asesoría/intermediación</t>
  </si>
  <si>
    <t>Si no tendrás asesoría ni intermediación, debes indicarlo explícitamente en la sección correspondiente del formulario.</t>
  </si>
  <si>
    <t>La transparencia exige indicar si hay asesoría/intermediación.</t>
  </si>
  <si>
    <t>Asumir que “no” es implícito.</t>
  </si>
  <si>
    <t>I32</t>
  </si>
  <si>
    <t>Campos mínimos de identificación</t>
  </si>
  <si>
    <t>¿Cuál conjunto cubre lo mínimo típico para identificarte en la solicitud?</t>
  </si>
  <si>
    <t>Solo RUT</t>
  </si>
  <si>
    <t>Solo correo electrónico</t>
  </si>
  <si>
    <t>RUT y nombre completo (+ datos de contacto según solicite el formulario)</t>
  </si>
  <si>
    <t>Se requiere identificación personal completa; el correo solo no basta.</t>
  </si>
  <si>
    <t>Reducir identificación a un dato único.</t>
  </si>
  <si>
    <t>I33</t>
  </si>
  <si>
    <t>Confirmación de veracidad/condiciones antes de enviar</t>
  </si>
  <si>
    <t>Antes de enviar, debes aceptar/confirmar la veracidad y condiciones del formulario.</t>
  </si>
  <si>
    <t>Es paso habitual de cierre del formulario.</t>
  </si>
  <si>
    <t>Pensar que el envío no requiere confirmación.</t>
  </si>
  <si>
    <t>I34</t>
  </si>
  <si>
    <t>Efecto de CS vencido sobre el envío</t>
  </si>
  <si>
    <t>Si tu Certificado de Saldo está vencido, puedes enviar igual la solicitud y luego reemplazarlo.</t>
  </si>
  <si>
    <t>No corresponde enviar con CS vencido.</t>
  </si>
  <si>
    <t>Creer que se puede “regularizar después”.</t>
  </si>
  <si>
    <t>I35</t>
  </si>
  <si>
    <t>RP: recálculo y variación del monto</t>
  </si>
  <si>
    <t>El Retiro Programado se recalcula periódicamente y el monto puede variar en el tiempo.</t>
  </si>
  <si>
    <t>El RP se recalcula y puede bajar/subir según saldo/rentabilidad.</t>
  </si>
  <si>
    <t>Pensar que es fijo como una renta vitalicia.</t>
  </si>
  <si>
    <t>I36</t>
  </si>
  <si>
    <t>Renta Vitalicia Inmediata: pagador y duración</t>
  </si>
  <si>
    <t>¿Cuál afirmación es correcta sobre la Renta Vitalicia Inmediata?</t>
  </si>
  <si>
    <t>La paga la AFP y dura hasta agotar el saldo</t>
  </si>
  <si>
    <t>La paga una Compañía de Seguros y se paga de por vida (en UF) incluyendo sobrevivencia según ley</t>
  </si>
  <si>
    <t>La paga la AFP y no se recalcula</t>
  </si>
  <si>
    <t>RVI la paga una compañía; es de por vida en UF, con reglas de sobrevivencia.</t>
  </si>
  <si>
    <t>Confundir con RP o con pagos de AFP.</t>
  </si>
  <si>
    <t>I37</t>
  </si>
  <si>
    <t>Funcionamiento de RT con RVD</t>
  </si>
  <si>
    <t>¿Cómo funciona la Renta Temporal con Renta Vitalicia Diferida?</t>
  </si>
  <si>
    <t>Primero paga la AFP (renta temporal); luego, desde la fecha pactada, paga la Compañía (renta vitalicia)</t>
  </si>
  <si>
    <t>Paga siempre la Compañía, desde el inicio</t>
  </si>
  <si>
    <t>Paga la AFP y nunca interviene una Compañía</t>
  </si>
  <si>
    <t>Secuencia correcta: RT por AFP → luego RVD por compañía.</t>
  </si>
  <si>
    <t>Confundir con RVI o negar intervención de compañía.</t>
  </si>
  <si>
    <t>I38</t>
  </si>
  <si>
    <t>Funcionamiento de RVI con RP</t>
  </si>
  <si>
    <t>¿Cómo funciona la Renta Vitalicia Inmediata con Retiro Programado?</t>
  </si>
  <si>
    <t>Se recibe solo RP hasta los 70 años</t>
  </si>
  <si>
    <t>Se reciben pagos simultáneos: uno de la AFP (RP) y otro de la Compañía (RVI)</t>
  </si>
  <si>
    <t>Es igual a la Renta Temporal con Renta Vitalicia Diferida</t>
  </si>
  <si>
    <t>En RVI+RP hay pagos simultáneos de AFP y Compañía.</t>
  </si>
  <si>
    <t>Confundir con RT+RVD.</t>
  </si>
  <si>
    <t>I39</t>
  </si>
  <si>
    <t>Efecto del período garantizado en RV</t>
  </si>
  <si>
    <t>Con Cláusula de Períodos Garantizados en una Renta Vitalicia, si el pensionado fallece antes de terminar el período garantizado, ¿qué ocurre?</t>
  </si>
  <si>
    <t>Se suspende el pago a beneficiarios</t>
  </si>
  <si>
    <t>La Compañía paga el 100% de la pensión contratada a los beneficiarios legales por el tiempo restante del período garantizado; luego rigen los porcentajes de ley</t>
  </si>
  <si>
    <t>Solo se paga si hay herederos testamentarios</t>
  </si>
  <si>
    <t>Durante el período garantizado se paga 100% a beneficiarios; luego aplica regla general.</t>
  </si>
  <si>
    <t>Asumir suspensión o confundir con herencia testamentaria.</t>
  </si>
  <si>
    <t>I40</t>
  </si>
  <si>
    <t>Dónde se cotizan condiciones especiales</t>
  </si>
  <si>
    <t>Las condiciones especiales (p. ej., Período Garantizado, aumento temporal de pensión) se cotizan a través del SCOMP.</t>
  </si>
  <si>
    <t>Se cotizan como parte del proceso a través de SCOMP.</t>
  </si>
  <si>
    <t>Pensar que se agregan después sin pasar por el sistema.</t>
  </si>
  <si>
    <t>I41</t>
  </si>
  <si>
    <t>Selección de modalidades en formulario para propuestas comparables</t>
  </si>
  <si>
    <t>Para recibir propuestas comparables acordes al perfil, en el formulario debes marcar las modalidades que deseas evaluar (p. ej., Renta Vitalicia Inmediata, Retiro Programado, mixtas).</t>
  </si>
  <si>
    <t>La selección explicita modalidades que luego se comparan.</t>
  </si>
  <si>
    <t>Asumir que el sistema decide sin entrada del usuario.</t>
  </si>
  <si>
    <t>I42</t>
  </si>
  <si>
    <t>Riesgo propio del RP vs RV</t>
  </si>
  <si>
    <t>¿Cuál es un riesgo propio del RP frente a una Renta Vitalicia?</t>
  </si>
  <si>
    <t>Que el saldo en la AFP pueda disminuir y, eventualmente, agotarse; el monto se recalcula y puede bajar</t>
  </si>
  <si>
    <t>Que el contrato sea irrevocable por ley</t>
  </si>
  <si>
    <t>Que no existan pensiones de sobrevivencia</t>
  </si>
  <si>
    <t>RP depende del saldo y rentabilidad; puede agotarse/disminuir monto.</t>
  </si>
  <si>
    <t>Atribuir a RP características de RV.</t>
  </si>
  <si>
    <t>I43</t>
  </si>
  <si>
    <t>Restricción sobre datos de contacto en Solicitud de Ofertas SCOMP</t>
  </si>
  <si>
    <t>En el formulario de Solicitud de Ofertas del SCOMP, ¿qué restricción existe sobre los datos de contacto?</t>
  </si>
  <si>
    <t>Pueden ser los del asesor o de la AFP si el afiliado lo autoriza</t>
  </si>
  <si>
    <t>No pueden corresponder al asesor, su representante/apoderado, agente, compañía, AFP ni a sus funcionarios</t>
  </si>
  <si>
    <t>Solo el correo puede ser del asesor</t>
  </si>
  <si>
    <t>Se exige independencia de contacto para transparencia/trasabilidad.</t>
  </si>
  <si>
    <t>Creer que el asesor puede figurar como contacto.</t>
  </si>
  <si>
    <t>I44</t>
  </si>
  <si>
    <t>Campos obligatorios del solicitante (además de RUT y nombre)</t>
  </si>
  <si>
    <t>¿Cuáles campos del solicitante son obligatorios (además del RUT y nombre)?</t>
  </si>
  <si>
    <t>Solo correo electrónico y teléfono</t>
  </si>
  <si>
    <t>Domicilio completo (calle, número, dpto, comuna, ciudad); teléfono y correo pueden ser opcionales</t>
  </si>
  <si>
    <t>Ninguno, todos son opcionales</t>
  </si>
  <si>
    <t>El domicilio completo suele ser requerido; contacto puede ser opcional según formato.</t>
  </si>
  <si>
    <t>Minimizar requerimientos o asumir opcionalidad total.</t>
  </si>
  <si>
    <t>I45</t>
  </si>
  <si>
    <t>Parámetros para cotizar RVI con condiciones especiales</t>
  </si>
  <si>
    <t>Al cotizar Renta Vitalicia Inmediata con condiciones especiales se debe:</t>
  </si>
  <si>
    <t>Elegir libremente más de 3 adicionales</t>
  </si>
  <si>
    <t>Indicar al menos 1 y hasta 3 entre: período garantizado, aumento temporal de pensión, o aumento de porcentaje de sobrevivencia (con sus meses/porcentajes)</t>
  </si>
  <si>
    <t>Solo período garantizado es válido</t>
  </si>
  <si>
    <t>Se permite hasta 3 condiciones especiales con sus parámetros.</t>
  </si>
  <si>
    <t>Pensar que hay libre cantidad o única condición.</t>
  </si>
  <si>
    <t>I46</t>
  </si>
  <si>
    <t>Parámetros para cotizar RT con RVD</t>
  </si>
  <si>
    <t>Para cotizar Renta Temporal con Renta Vitalicia Diferida se debe:</t>
  </si>
  <si>
    <t>Solo indicar la fecha de inicio de la RVD</t>
  </si>
  <si>
    <t>Indicar relación entre RT y RVD y los meses de diferimiento (hasta 3 periodos distintos), y si se cotiza con/sin condiciones especiales (período garantizado y/o aumento de porcentaje de sobrevivencia)</t>
  </si>
  <si>
    <t>No se permiten condiciones especiales</t>
  </si>
  <si>
    <t>Se parametriza relación RT–RVD, diferimiento y condiciones especiales.</t>
  </si>
  <si>
    <t>Reducir la parametrización a un único dato.</t>
  </si>
  <si>
    <t>I47</t>
  </si>
  <si>
    <t>Parámetros para cotizar RVI con RP</t>
  </si>
  <si>
    <t>En Renta Vitalicia Inmediata con Retiro Programado se debe:</t>
  </si>
  <si>
    <t>Indicar en UF el monto destinado a la RVI (menor al saldo total) y el destino de los Bonos de Reconocimiento (RVI o RP) si corresponde</t>
  </si>
  <si>
    <t>Destinar todo el saldo a RVI</t>
  </si>
  <si>
    <t>Excluir siempre los Bonos de Reconocimiento</t>
  </si>
  <si>
    <t>Debe especificarse el monto parcial a RVI y la asignación de bonos.</t>
  </si>
  <si>
    <t>Suponer 100% a RVI o ignorar bonos.</t>
  </si>
  <si>
    <t>I48</t>
  </si>
  <si>
    <t>Alcance de la cláusula de aumento temporal de pensión</t>
  </si>
  <si>
    <t>La cláusula de aumento temporal de pensión puede solicitarse:</t>
  </si>
  <si>
    <t>En cualquier modalidad y tipo de pensión</t>
  </si>
  <si>
    <t>Solo para vejez o invalidez, en RVI y RVI+RP, y además junto con período garantizado</t>
  </si>
  <si>
    <t>Solo para sobrevivencia</t>
  </si>
  <si>
    <t>Aplica a vejez/invalidez en RVI y RVI+RP; combinable con período garantizado.</t>
  </si>
  <si>
    <t>Generalizar a cualquier modalidad o restringir a sobrevivencia.</t>
  </si>
  <si>
    <t>I49</t>
  </si>
  <si>
    <t>Parámetros de declaración de ELD</t>
  </si>
  <si>
    <t>Si marca “Sí” a ELD, debe indicar…</t>
  </si>
  <si>
    <t>Nada más; el sistema calcula</t>
  </si>
  <si>
    <t>Si desea máximo y/o un monto específico; en RVI+RP debe señalar el monto específico</t>
  </si>
  <si>
    <t>Solo un monto en pesos</t>
  </si>
  <si>
    <t>Se solicita máximo y/o monto específico (según modalidad).</t>
  </si>
  <si>
    <t>Asumir cálculo automático o formato único.</t>
  </si>
  <si>
    <t>I50</t>
  </si>
  <si>
    <t>Transparencia de envío de documento explicativo</t>
  </si>
  <si>
    <t>El sistema debe enviar junto con la Solicitud de Ofertas el documento que explica las modalidades y las condiciones especiales al correo registrado.</t>
  </si>
  <si>
    <t>Medida de transparencia/información al solicitante.</t>
  </si>
  <si>
    <t>Pensar que no se entrega información formal por correo.</t>
  </si>
  <si>
    <t>D02</t>
  </si>
  <si>
    <t>D04</t>
  </si>
  <si>
    <t>D05</t>
  </si>
  <si>
    <t>D06</t>
  </si>
  <si>
    <t>D09</t>
  </si>
  <si>
    <t>F/M</t>
  </si>
  <si>
    <t>F/F/M</t>
  </si>
  <si>
    <t>F/M/M</t>
  </si>
  <si>
    <t>Conceptos generales de pensión/ ahorros previsionales y saldo</t>
  </si>
  <si>
    <t>F/F</t>
  </si>
  <si>
    <t xml:space="preserve">Beneficiarios y sobrevivencia y herencia </t>
  </si>
  <si>
    <t>PGU</t>
  </si>
  <si>
    <t xml:space="preserve">Dimensión </t>
  </si>
  <si>
    <t>Encabezado Pregunta</t>
  </si>
  <si>
    <t>Son requisitos para acceder a la Pensión Garantizada Universal (PGU):</t>
  </si>
  <si>
    <t>La Aceptación de una oferta de Renta Vitalicia, siempre se podrá realizar mientras se encuentre vigente</t>
  </si>
  <si>
    <t xml:space="preserve">Entre otros fondos, constituyen herencia: </t>
  </si>
  <si>
    <t xml:space="preserve">Un afiliado sin beneficiarios legales de pensión cotiza una renta vitalicia inmediata con 240 meses de periodo garantizado de pago, que no contempla Excedente de Libre Disposición. El afiliado recibe dos ofertas de igual monto de pensión, sin embargo, una de las compañías (Compañía A) señala como tasa de descuento del periodo garantizado un 6,00% y la otra (Compañía B) indica 4%. Si el afiliado fallece alcanzando a recibir sólo 2 pensiones: Que compañía pagaría el mayor pago único al beneficiario designado. </t>
  </si>
  <si>
    <t xml:space="preserve">El capital necesario unitario (cnu), manteniéndose todo lo demás constante, aumenta: </t>
  </si>
  <si>
    <t>Respecto de la modalidad de pensión Renta Vitalicia Inmediata, es correcto afirmar</t>
  </si>
  <si>
    <t>Tratándose de solicitudes de oferta a SCOMP, en el caso de pensiones de vejez e invalidez, el consultante durante el período de vigencia del certificado electrónico de saldo podrá efectuar hasta</t>
  </si>
  <si>
    <t>Un afiliado que se acogió a pensión de vejez edad en la modalidad de retiro programado sin intermediación, durante el presente año suscribe una solicitud de cambio de modalidad de pensión, hoy presenta a SCOMP una solicitud de oferta a través de un Asesor Previsional. Si el saldo actual de su cuenta individual es de 1.750 UF, cuál será la comisión de referencia en este caso</t>
  </si>
  <si>
    <t>Para que el padre de un hijo de filiación no matrimonial de una afiliada fallecida, tenga derecho a pensión, se debe cumplir al momento del fallecimiento, entre otros, con lo siguiente</t>
  </si>
  <si>
    <t>Respecto a la cláusula adicional de aumento de porcentaje de pensión de sobrevivencia, es correcto afirmar que</t>
  </si>
  <si>
    <t>En la modalidad de Renta Vitalicia Inmediata con Retiro Programado, la Renta Vitalicia debe ser a lo menos igual</t>
  </si>
  <si>
    <t>Respecto a la Ficha de Cálculo de Retiro Programado y el Certificado de Saldo, se puede afirmar que</t>
  </si>
  <si>
    <t>Id_Pregunta_anexo</t>
  </si>
  <si>
    <t>P_Prueba</t>
  </si>
  <si>
    <t>P4</t>
  </si>
  <si>
    <t>P6</t>
  </si>
  <si>
    <t>P9</t>
  </si>
  <si>
    <t>P10</t>
  </si>
  <si>
    <t>P11</t>
  </si>
  <si>
    <t>P14</t>
  </si>
  <si>
    <t>P15</t>
  </si>
  <si>
    <t>P16</t>
  </si>
  <si>
    <t>P17</t>
  </si>
  <si>
    <t>P25</t>
  </si>
  <si>
    <t>P28</t>
  </si>
  <si>
    <t>P30</t>
  </si>
  <si>
    <t>P1</t>
  </si>
  <si>
    <t>En relación con el cobro de comisiones por administrar los fondos previsionales, las AFP pueden cobrar</t>
  </si>
  <si>
    <t>Para ser beneficiario de la Pensión Garantizada Universal (PGU) se debe cumplir entre otros los siguientes requisitos</t>
  </si>
  <si>
    <t>La Pensión Garantiza Universal (PGU) es pagada directamente por</t>
  </si>
  <si>
    <t>P18</t>
  </si>
  <si>
    <t>P19</t>
  </si>
  <si>
    <t>P20</t>
  </si>
  <si>
    <t>P21</t>
  </si>
  <si>
    <t>P23</t>
  </si>
  <si>
    <t>P24</t>
  </si>
  <si>
    <t>P29</t>
  </si>
  <si>
    <t>P31</t>
  </si>
  <si>
    <t>P32</t>
  </si>
  <si>
    <t>La renta vitalicia que se encuentra percibiendo un pensionado por vejez se recalculará en caso de</t>
  </si>
  <si>
    <t>Cumpliendo con los requisitos que establece la legislación, pueden optar por retirar excedente de libre disposición quienes se pensionen por</t>
  </si>
  <si>
    <t>Con la cláusula de aumento temporal de pensión para rentas vitalicias, el porcentaje máximo que podrá aumentar la renta vitalicia, durante el período temporal es de</t>
  </si>
  <si>
    <t>P33</t>
  </si>
  <si>
    <t>La Cláusula de aumento temporal de pensión para Rentas Vitalicias, podrá contratarse, en las modalidades de pensión de</t>
  </si>
  <si>
    <t>P34</t>
  </si>
  <si>
    <t>La Selección de la Modalidad de Pensión, se debe realizar</t>
  </si>
  <si>
    <t>P35</t>
  </si>
  <si>
    <t>La pensión de referencia de los beneficiarios de pensión de sobrevivencia, cuando se trata del o la conviviente civil, será</t>
  </si>
  <si>
    <t>Es correcto señalar respecto de la modalidad de pensión de Renta Vitalicia Inmediata con Retiro Programado que</t>
  </si>
  <si>
    <t>P38</t>
  </si>
  <si>
    <t>P3</t>
  </si>
  <si>
    <t>Si usted es una persona adversa al riesgo y quiere cubrir totalmente del riesgo de longevidad y de reinversión, debería al momento de pensionarse elegir</t>
  </si>
  <si>
    <t>La Cláusula de aumento temporal de pensión para rentas vitalicias, podrá ser cotizada y contratada por afiliados que tramiten</t>
  </si>
  <si>
    <t>Un pensionado de vejez contrató una Renta Vitalicia Inmediata Simple de 30 UF, con una cláusula de aumento temporal de un 50% por los primeros 10 años. El pensionado fallece al año 5 de estar recibiendo la pensión con aumento temporal, y sólo tiene como beneficiario una cónyuge. La pensión de sobrevivencia hasta el cumplimiento de los 10 años y después del décimo año será, respectivamente</t>
  </si>
  <si>
    <t>Una vez seleccionada una renta vitalicia inmediata</t>
  </si>
  <si>
    <t>P37</t>
  </si>
  <si>
    <t>Los afiliados solo pueden mantener las cotizaciones obligatorias en una Administradora de Fondos de Pensiones (AFP), no obstante podrán mantener simultáneamente en más de una AFP recursos originados en</t>
  </si>
  <si>
    <t>La Pensión Autofinanciada de Referencia (PAFE) se determina a</t>
  </si>
  <si>
    <t>Para que se otorgue la Pensión Garantizada Universal (PGU) la persona debe cumplir entre otros, los siguientes requisitos</t>
  </si>
  <si>
    <t>P2</t>
  </si>
  <si>
    <t>P8</t>
  </si>
  <si>
    <t>P40</t>
  </si>
  <si>
    <t>Para obtener la Pensión Garantizada Universal, entre otros se debe cumplir</t>
  </si>
  <si>
    <t>En el marco de la Pensión Garantizada Universal (PGU) la Pensión Autofinanciada de Referencia (PAFE) es un parámetro que se determina</t>
  </si>
  <si>
    <t>La Pensión Garantizada Universal (PGU) se extingue si el beneficiario</t>
  </si>
  <si>
    <t>Con respecto al monto del beneficio de la Pensión Garantizada Universal (PGU), es correcto señalar que</t>
  </si>
  <si>
    <t>Para realizar el cálculo de la Pensión Autofinanciada de Referencia (PAFE), de los afiliados al DL 3.500, es correcto señalar que se</t>
  </si>
  <si>
    <t>Respecto a las distintas cuentas individuales que administran las AFP, está permitido que estas cobren una comisión fija por</t>
  </si>
  <si>
    <t>Es correcto señalar para los siguientes beneficiarios de pensión de sobrevivencia (PS), que su pensión de referencia es, equivalente a los siguientes porcentajes de la pensión de referencia (PR) del causante</t>
  </si>
  <si>
    <t>Es obligatorio el uso del Sistema de Consultas y Ofertas de Montos de Pensión (SCOMP) en el caso de</t>
  </si>
  <si>
    <t>Respecto a las condiciones especiales de cobertura en Rentas Vitalicias, es correcto señalar que la cláusula</t>
  </si>
  <si>
    <t>Es correcto señalar respecto a la modalidad de pensión renta vitalicia inmediata con retiro programado, que</t>
  </si>
  <si>
    <t>Si al fallecimiento del afiliado existieran fondos en la cuenta individual de cotizaciones obligatorias, de acuerdo con la información que se proporciona en la tabla siguiente, pueden solicitar retiro de herencia</t>
  </si>
  <si>
    <t>Es correcto señalar, que, en el caso de cónyuge y conviviente civil, es requisito para considerarse como beneficiarios de pensión de sobrevivencia de un causante no pensionado, que</t>
  </si>
  <si>
    <t>Un afiliado que desea pensionarse por vejez edad, que tiene como beneficiario de pensión una cónyuge, realizó una solicitud de ofertas, y entre otras ofertas recibió las siguientes</t>
  </si>
  <si>
    <t>Fecha_Prueba</t>
  </si>
  <si>
    <t>Tipo_Prueba</t>
  </si>
  <si>
    <t xml:space="preserve">Asesores Previsionales </t>
  </si>
  <si>
    <t>P13</t>
  </si>
  <si>
    <t>Cuando los afiliados o beneficiarios de pensión de sobrevivencia, realizan su tramitación en el SCOMP en forma directa (sin intermediación), es incorrecto señalar que éstos pueden realizar la</t>
  </si>
  <si>
    <t xml:space="preserve">Respecto al Sistema de Consultas y Ofertas de Montos de Pensión (SCOMP), no es correcto señalar que: </t>
  </si>
  <si>
    <t>El o la conviviente civil, pueden ser beneficiario o beneficiaría de pensión de sobrevivencia, cumpliendo determinados requisitos. De acuerdo a la información que se proporciona en la tabla siguiente, es correcto señalar que son beneficiarios de pensión de sobrevivencia los convivientes civiles</t>
  </si>
  <si>
    <t>Respecto a la cláusula de aumento temporal de la pensión, no es correcto señalar que</t>
  </si>
  <si>
    <t>Quien determina el cumplimiento de los requisitos de acceso al beneficio de la Pensión Garantiza Universal es</t>
  </si>
  <si>
    <t>La Pensión Garantizada Universal (PGU), puede ser solicitada en</t>
  </si>
  <si>
    <t>Es correcto señalar, que no pueden acceder al beneficio de la Pensión Garantizada Universal (PGU)</t>
  </si>
  <si>
    <t>P5</t>
  </si>
  <si>
    <t>P7</t>
  </si>
  <si>
    <t>P39</t>
  </si>
  <si>
    <t>Respecto de la PGU es incorrecto decir que se extinguirá por</t>
  </si>
  <si>
    <t>El documento válido para efectuar la aceptación de una oferta y la selección de modalidad de pensión es el Certificado de Ofertas original. En caso de extravío o destrucción de dicho documento, el consultante debe solicitar un duplicado</t>
  </si>
  <si>
    <t>Respecto de la PGU es correcto señalar que quien la concede es</t>
  </si>
  <si>
    <t>Respecto a las solicitudes de ofertas al SCOMP (Sistema de Consultas y Ofertas de Montos de Pensión), es falso señalar que cuando se trata de</t>
  </si>
  <si>
    <t>Constituyen Herencia los fondos de la cuenta de capitalización individual, quedados al fallecimiento de un causante y no contando éste con beneficiarios de pensión de sobrevivencia, en los siguientes casos</t>
  </si>
  <si>
    <t>Un afiliado recibió su Certificado de Ofertas, y en las ofertas de Retiro Programado se le informa lo siguiente</t>
  </si>
  <si>
    <t>De acuerdo a la información que se muestra en el siguiente cuadro, pueden contratar la modalidad de pensión de Renta Temporal con Renta Vitalicia Diferida</t>
  </si>
  <si>
    <t>Los hijos mayores de 18 años y menores de 24 años de edad solo recibirán pago de pensiones de sobrevivencia mientras tengan la calidad de estudiantes, al respecto es falso señalar que</t>
  </si>
  <si>
    <t xml:space="preserve">Para un afiliado pensionado en la opción de retiro programado, la anualidad y la pensión debe ser recalculada cada año, en el mismo mes calendario en que se devengó la pensión correspondiente. No obstante, corresponde realizar recálculos extraordinarios, en las siguientes situaciones: </t>
  </si>
  <si>
    <t>La cláusula de aumento temporal de pensión, siempre se pueden requerir para las</t>
  </si>
  <si>
    <t>La selección de modalidad de pensión se debe realizar</t>
  </si>
  <si>
    <t xml:space="preserve">Asesores Financieros Previsionales </t>
  </si>
  <si>
    <t>P12</t>
  </si>
  <si>
    <t>Las modalidades de pensión por las que pueden optar los afiliados en el Sistema de Pensiones de Capitalización Individual son</t>
  </si>
  <si>
    <t>¿Cuál de las siguientes afirmaciones es verdadera respecto del derecho a cobro de comisiones por parte de las AFP?</t>
  </si>
  <si>
    <t>Algunas de las características del ahorro obligatorio en el Sistema de Capitalización para pensiones regulado por el D.L. 3.500 son</t>
  </si>
  <si>
    <t>El sistema de pensiones permite que el saldo del afiliado fallecido siempre constituye herencia cuando</t>
  </si>
  <si>
    <t>¿Cuáles de las siguientes características la Renta Vitalicia, son verdaderas?</t>
  </si>
  <si>
    <t>Respecto de la modalidad de pensión de renta vitalicia inmediata con retiro programado, ¿Cuál (es) de las siguientes afirmaciones es (son) correcta (s)?</t>
  </si>
  <si>
    <t>El valor del costo unitario por unidad anual de pensión (cnu) depende, entre otras variables, de</t>
  </si>
  <si>
    <t>Las Administradoras de Fondos de Pensiones se caracterizan por</t>
  </si>
  <si>
    <t>Los tipos de pensión que otorga el Sistema de Pensiones de Capitalización Individual son</t>
  </si>
  <si>
    <t>Para qué sirve el Sistema de Consultas y Ofertas de Montos de Pensión (SCOMP):</t>
  </si>
  <si>
    <t>¿Cuál(es) de las siguientes características del Retiro Programado son verdaderas?</t>
  </si>
  <si>
    <t xml:space="preserve">Cual(es) de las siguientes características de la Renta Vitalicia, es o son Falsa(s): </t>
  </si>
  <si>
    <t>La comisión que cobra una AFP por la administración de los ahorros previsionales obligatorios</t>
  </si>
  <si>
    <t>Las cláusulas adicionales del contrato de renta vitalicia permiten</t>
  </si>
  <si>
    <t>En la renta temporal con renta vitalicia diferida, el pensionado</t>
  </si>
  <si>
    <t>Los partícipes del Sistema SCOMP, son</t>
  </si>
  <si>
    <t xml:space="preserve">¿Cuál o cuáles de los siguientes recursos previsionales pueden ser destinados a pensión?: </t>
  </si>
  <si>
    <t>En el certificado de ofertas que entrega SCOMP el afiliado o afiliada que se pensiona por vejez tiene información de las distintas opciones para pensionarse y así que puede realizar cualquiera de las acciones que se indican a continuación</t>
  </si>
  <si>
    <t>Los requisitos para retirar Excedente de Libre Disposición de un pensionado por vejez son</t>
  </si>
  <si>
    <t>Cuenta de Id_Pregunta_anexo</t>
  </si>
  <si>
    <t>Etiquetas de fila</t>
  </si>
  <si>
    <t>Total general</t>
  </si>
  <si>
    <t>Bloque: Conceptos Generales</t>
  </si>
  <si>
    <t xml:space="preserve">Bloque: Proceso Pension </t>
  </si>
  <si>
    <t>Bloque: Modalidades</t>
  </si>
  <si>
    <t>Preguntas Denise</t>
  </si>
  <si>
    <t xml:space="preserve">61 - 64 </t>
  </si>
  <si>
    <t xml:space="preserve">3 - 4 - 5 - 6 - 8 </t>
  </si>
  <si>
    <t>14 - 15 - 16 - 17 - 19 -20 - 23</t>
  </si>
  <si>
    <t>51 - 53 - 54 - 57 - 58 60</t>
  </si>
  <si>
    <t>25 - 29 - 33 - 34 - 37 - 40 - 41 - 42 - 44 - 46 - 48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</si>
</sst>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2"/>
      <color theme="1"/>
      <name val="Aptos"/>
      <family val="2"/>
    </font>
    <font>
      <sz val="12"/>
      <color theme="1"/>
      <name val="Aptos"/>
      <family val="1"/>
    </font>
  </fonts>
  <fills count="5">
    <fill>
      <patternFill patternType="none"/>
    </fill>
    <fill>
      <patternFill patternType="gray125"/>
    </fill>
    <fill>
      <patternFill patternType="solid">
        <fgColor theme="9"/>
        <bgColor indexed="64"/>
      </patternFill>
    </fill>
    <fill>
      <patternFill patternType="solid">
        <fgColor theme="6"/>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0" borderId="1" xfId="0" applyFont="1" applyBorder="1" applyAlignment="1">
      <alignment horizontal="center" vertical="top" wrapText="1"/>
    </xf>
    <xf numFmtId="0" fontId="0" fillId="0" borderId="0" xfId="0" applyAlignment="1">
      <alignment wrapText="1"/>
    </xf>
    <xf numFmtId="0" fontId="0" fillId="3" borderId="0" xfId="0" applyFill="1" applyAlignment="1">
      <alignment wrapText="1"/>
    </xf>
    <xf numFmtId="0" fontId="0" fillId="2" borderId="0" xfId="0" applyFill="1" applyAlignment="1">
      <alignment wrapText="1"/>
    </xf>
    <xf numFmtId="0" fontId="1" fillId="0" borderId="0" xfId="0" applyFont="1"/>
    <xf numFmtId="0" fontId="1" fillId="0" borderId="2" xfId="0" applyFont="1" applyBorder="1" applyAlignment="1">
      <alignment horizontal="center" vertical="top" wrapText="1"/>
    </xf>
    <xf numFmtId="49" fontId="0" fillId="0" borderId="0" xfId="0" applyNumberFormat="1"/>
    <xf numFmtId="49" fontId="0" fillId="0" borderId="0" xfId="0" quotePrefix="1" applyNumberFormat="1"/>
    <xf numFmtId="0" fontId="3" fillId="0" borderId="0" xfId="0" applyFont="1"/>
    <xf numFmtId="0" fontId="4" fillId="0" borderId="0" xfId="0" applyFont="1" applyAlignment="1">
      <alignment horizontal="justify" vertical="center"/>
    </xf>
    <xf numFmtId="14" fontId="0" fillId="0" borderId="0" xfId="0" applyNumberFormat="1"/>
    <xf numFmtId="0" fontId="0" fillId="0" borderId="0" xfId="0" pivotButton="1"/>
    <xf numFmtId="0" fontId="0" fillId="0" borderId="0" xfId="0" applyAlignment="1">
      <alignment horizontal="left"/>
    </xf>
    <xf numFmtId="49" fontId="0" fillId="4" borderId="0" xfId="0" applyNumberFormat="1" applyFill="1"/>
    <xf numFmtId="0" fontId="1" fillId="0"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mila Utreras" refreshedDate="45972.923000000003" createdVersion="8" refreshedVersion="8" minRefreshableVersion="3" recordCount="80" xr:uid="{5A3C1E3E-E0D2-4C43-8DA7-F4F0415CE0C5}">
  <cacheSource type="worksheet">
    <worksheetSource ref="A1:F81" sheet="Anexo Preguntas"/>
  </cacheSource>
  <cacheFields count="6">
    <cacheField name="Tipo_Prueba" numFmtId="0">
      <sharedItems/>
    </cacheField>
    <cacheField name="Fecha_Prueba" numFmtId="14">
      <sharedItems containsSemiMixedTypes="0" containsNonDate="0" containsDate="1" containsString="0" minDate="2021-09-07T00:00:00" maxDate="2025-06-28T00:00:00"/>
    </cacheField>
    <cacheField name="P_Prueba" numFmtId="0">
      <sharedItems/>
    </cacheField>
    <cacheField name="Id_Pregunta_anexo" numFmtId="0">
      <sharedItems containsSemiMixedTypes="0" containsString="0" containsNumber="1" containsInteger="1" minValue="1" maxValue="80"/>
    </cacheField>
    <cacheField name="Dimensión " numFmtId="0">
      <sharedItems count="7">
        <s v="D1"/>
        <s v="D10"/>
        <s v="D4"/>
        <s v="D5"/>
        <s v="D6"/>
        <s v="D8"/>
        <s v="PGU"/>
      </sharedItems>
    </cacheField>
    <cacheField name="Encabezado Pregunta"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Asesores Previsionales "/>
    <d v="2022-11-25T00:00:00"/>
    <s v="P11"/>
    <n v="5"/>
    <x v="0"/>
    <s v="El capital necesario unitario (cnu), manteniéndose todo lo demás constante, aumenta: "/>
  </r>
  <r>
    <s v="Asesores Previsionales "/>
    <d v="2023-06-30T00:00:00"/>
    <s v="P17"/>
    <n v="17"/>
    <x v="0"/>
    <s v="Cumpliendo con los requisitos que establece la legislación, pueden optar por retirar excedente de libre disposición quienes se pensionen por"/>
  </r>
  <r>
    <s v="Asesores Previsionales "/>
    <d v="2023-11-24T00:00:00"/>
    <s v="P3"/>
    <n v="23"/>
    <x v="0"/>
    <s v="Si usted es una persona adversa al riesgo y quiere cubrir totalmente del riesgo de longevidad y de reinversión, debería al momento de pensionarse elegir"/>
  </r>
  <r>
    <s v="Asesores Previsionales "/>
    <d v="2023-11-24T00:00:00"/>
    <s v="P35"/>
    <n v="28"/>
    <x v="0"/>
    <s v="La Pensión Autofinanciada de Referencia (PAFE) se determina a"/>
  </r>
  <r>
    <s v="Asesores Previsionales "/>
    <d v="2024-06-28T00:00:00"/>
    <s v="P8"/>
    <n v="34"/>
    <x v="0"/>
    <s v="Para realizar el cálculo de la Pensión Autofinanciada de Referencia (PAFE), de los afiliados al DL 3.500, es correcto señalar que se"/>
  </r>
  <r>
    <s v="Asesores Financieros Previsionales "/>
    <d v="2021-10-26T00:00:00"/>
    <s v="P1"/>
    <n v="61"/>
    <x v="0"/>
    <s v="Las modalidades de pensión por las que pueden optar los afiliados en el Sistema de Pensiones de Capitalización Individual son"/>
  </r>
  <r>
    <s v="Asesores Financieros Previsionales "/>
    <d v="2021-10-26T00:00:00"/>
    <s v="P4"/>
    <n v="63"/>
    <x v="0"/>
    <s v="Algunas de las características del ahorro obligatorio en el Sistema de Capitalización para pensiones regulado por el D.L. 3.500 son"/>
  </r>
  <r>
    <s v="Asesores Financieros Previsionales "/>
    <d v="2021-10-26T00:00:00"/>
    <s v="P19"/>
    <n v="67"/>
    <x v="0"/>
    <s v="El valor del costo unitario por unidad anual de pensión (cnu) depende, entre otras variables, de"/>
  </r>
  <r>
    <s v="Asesores Financieros Previsionales "/>
    <d v="2021-09-07T00:00:00"/>
    <s v="P2"/>
    <n v="68"/>
    <x v="0"/>
    <s v="Las Administradoras de Fondos de Pensiones se caracterizan por"/>
  </r>
  <r>
    <s v="Asesores Financieros Previsionales "/>
    <d v="2021-09-07T00:00:00"/>
    <s v="P5"/>
    <n v="69"/>
    <x v="0"/>
    <s v="Los tipos de pensión que otorga el Sistema de Pensiones de Capitalización Individual son"/>
  </r>
  <r>
    <s v="Asesores Financieros Previsionales "/>
    <d v="2025-05-13T00:00:00"/>
    <s v="P12"/>
    <n v="80"/>
    <x v="0"/>
    <s v="Los requisitos para retirar Excedente de Libre Disposición de un pensionado por vejez son"/>
  </r>
  <r>
    <s v="Asesores Previsionales "/>
    <d v="2022-11-25T00:00:00"/>
    <s v="P16"/>
    <n v="8"/>
    <x v="1"/>
    <s v="Un afiliado que se acogió a pensión de vejez edad en la modalidad de retiro programado sin intermediación, durante el presente año suscribe una solicitud de cambio de modalidad de pensión, hoy presenta a SCOMP una solicitud de oferta a través de un Asesor Previsional. Si el saldo actual de su cuenta individual es de 1.750 UF, cuál será la comisión de referencia en este caso"/>
  </r>
  <r>
    <s v="Asesores Previsionales "/>
    <d v="2023-06-30T00:00:00"/>
    <s v="P1"/>
    <n v="13"/>
    <x v="1"/>
    <s v="En relación con el cobro de comisiones por administrar los fondos previsionales, las AFP pueden cobrar"/>
  </r>
  <r>
    <s v="Asesores Previsionales "/>
    <d v="2024-06-28T00:00:00"/>
    <s v="P14"/>
    <n v="35"/>
    <x v="1"/>
    <s v="Respecto a las distintas cuentas individuales que administran las AFP, está permitido que estas cobren una comisión fija por"/>
  </r>
  <r>
    <s v="Asesores Financieros Previsionales "/>
    <d v="2021-10-26T00:00:00"/>
    <s v="P2"/>
    <n v="62"/>
    <x v="1"/>
    <s v="¿Cuál de las siguientes afirmaciones es verdadera respecto del derecho a cobro de comisiones por parte de las AFP?"/>
  </r>
  <r>
    <s v="Asesores Financieros Previsionales "/>
    <d v="2021-09-07T00:00:00"/>
    <s v="P11"/>
    <n v="73"/>
    <x v="1"/>
    <s v="La comisión que cobra una AFP por la administración de los ahorros previsionales obligatorios"/>
  </r>
  <r>
    <s v="Asesores Previsionales "/>
    <d v="2022-11-25T00:00:00"/>
    <s v="P6"/>
    <n v="2"/>
    <x v="2"/>
    <s v="La Aceptación de una oferta de Renta Vitalicia, siempre se podrá realizar mientras se encuentre vigente"/>
  </r>
  <r>
    <s v="Asesores Previsionales "/>
    <d v="2022-11-25T00:00:00"/>
    <s v="P15"/>
    <n v="7"/>
    <x v="2"/>
    <s v="Tratándose de solicitudes de oferta a SCOMP, en el caso de pensiones de vejez e invalidez, el consultante durante el período de vigencia del certificado electrónico de saldo podrá efectuar hasta"/>
  </r>
  <r>
    <s v="Asesores Previsionales "/>
    <d v="2022-11-25T00:00:00"/>
    <s v="P30"/>
    <n v="12"/>
    <x v="2"/>
    <s v="Respecto a la Ficha de Cálculo de Retiro Programado y el Certificado de Saldo, se puede afirmar que"/>
  </r>
  <r>
    <s v="Asesores Previsionales "/>
    <d v="2023-06-30T00:00:00"/>
    <s v="P34"/>
    <n v="20"/>
    <x v="2"/>
    <s v="La Selección de la Modalidad de Pensión, se debe realizar"/>
  </r>
  <r>
    <s v="Asesores Previsionales "/>
    <d v="2024-06-28T00:00:00"/>
    <s v="P30"/>
    <n v="37"/>
    <x v="2"/>
    <s v="Es obligatorio el uso del Sistema de Consultas y Ofertas de Montos de Pensión (SCOMP) en el caso de"/>
  </r>
  <r>
    <s v="Asesores Previsionales "/>
    <d v="2024-11-29T00:00:00"/>
    <s v="P16"/>
    <n v="44"/>
    <x v="2"/>
    <s v="Respecto al Sistema de Consultas y Ofertas de Montos de Pensión (SCOMP), no es correcto señalar que: "/>
  </r>
  <r>
    <s v="Asesores Previsionales "/>
    <d v="2025-06-27T00:00:00"/>
    <s v="P17"/>
    <n v="52"/>
    <x v="2"/>
    <s v="El documento válido para efectuar la aceptación de una oferta y la selección de modalidad de pensión es el Certificado de Ofertas original. En caso de extravío o destrucción de dicho documento, el consultante debe solicitar un duplicado"/>
  </r>
  <r>
    <s v="Asesores Previsionales "/>
    <d v="2025-06-27T00:00:00"/>
    <s v="P40"/>
    <n v="60"/>
    <x v="2"/>
    <s v="La selección de modalidad de pensión se debe realizar"/>
  </r>
  <r>
    <s v="Asesores Financieros Previsionales "/>
    <d v="2021-09-07T00:00:00"/>
    <s v="P6"/>
    <n v="70"/>
    <x v="2"/>
    <s v="Para qué sirve el Sistema de Consultas y Ofertas de Montos de Pensión (SCOMP):"/>
  </r>
  <r>
    <s v="Asesores Financieros Previsionales "/>
    <d v="2022-05-18T00:00:00"/>
    <s v="P19"/>
    <n v="76"/>
    <x v="2"/>
    <s v="La Selección de la Modalidad de Pensión, se debe realizar"/>
  </r>
  <r>
    <s v="Asesores Financieros Previsionales "/>
    <d v="2022-05-18T00:00:00"/>
    <s v="P20"/>
    <n v="77"/>
    <x v="2"/>
    <s v="Los partícipes del Sistema SCOMP, son"/>
  </r>
  <r>
    <s v="Asesores Financieros Previsionales "/>
    <d v="2024-05-08T00:00:00"/>
    <s v="P14"/>
    <n v="79"/>
    <x v="2"/>
    <s v="En el certificado de ofertas que entrega SCOMP el afiliado o afiliada que se pensiona por vejez tiene información de las distintas opciones para pensionarse y así que puede realizar cualquiera de las acciones que se indican a continuación"/>
  </r>
  <r>
    <s v="Asesores Previsionales "/>
    <d v="2022-11-25T00:00:00"/>
    <s v="P10"/>
    <n v="4"/>
    <x v="3"/>
    <s v="Un afiliado sin beneficiarios legales de pensión cotiza una renta vitalicia inmediata con 240 meses de periodo garantizado de pago, que no contempla Excedente de Libre Disposición. El afiliado recibe dos ofertas de igual monto de pensión, sin embargo, una de las compañías (Compañía A) señala como tasa de descuento del periodo garantizado un 6,00% y la otra (Compañía B) indica 4%. Si el afiliado fallece alcanzando a recibir sólo 2 pensiones: Que compañía pagaría el mayor pago único al beneficiario designado. "/>
  </r>
  <r>
    <s v="Asesores Previsionales "/>
    <d v="2022-11-25T00:00:00"/>
    <s v="P14"/>
    <n v="6"/>
    <x v="3"/>
    <s v="Respecto de la modalidad de pensión Renta Vitalicia Inmediata, es correcto afirmar"/>
  </r>
  <r>
    <s v="Asesores Previsionales "/>
    <d v="2022-11-25T00:00:00"/>
    <s v="P25"/>
    <n v="10"/>
    <x v="3"/>
    <s v="Respecto a la cláusula adicional de aumento de porcentaje de pensión de sobrevivencia, es correcto afirmar que"/>
  </r>
  <r>
    <s v="Asesores Previsionales "/>
    <d v="2022-11-25T00:00:00"/>
    <s v="P28"/>
    <n v="11"/>
    <x v="3"/>
    <s v="En la modalidad de Renta Vitalicia Inmediata con Retiro Programado, la Renta Vitalicia debe ser a lo menos igual"/>
  </r>
  <r>
    <s v="Asesores Previsionales "/>
    <d v="2023-06-30T00:00:00"/>
    <s v="P16"/>
    <n v="16"/>
    <x v="3"/>
    <s v="La renta vitalicia que se encuentra percibiendo un pensionado por vejez se recalculará en caso de"/>
  </r>
  <r>
    <s v="Asesores Previsionales "/>
    <d v="2023-06-30T00:00:00"/>
    <s v="P21"/>
    <n v="18"/>
    <x v="3"/>
    <s v="Con la cláusula de aumento temporal de pensión para rentas vitalicias, el porcentaje máximo que podrá aumentar la renta vitalicia, durante el período temporal es de"/>
  </r>
  <r>
    <s v="Asesores Previsionales "/>
    <d v="2023-06-30T00:00:00"/>
    <s v="P33"/>
    <n v="19"/>
    <x v="3"/>
    <s v="La Cláusula de aumento temporal de pensión para Rentas Vitalicias, podrá contratarse, en las modalidades de pensión de"/>
  </r>
  <r>
    <s v="Asesores Previsionales "/>
    <d v="2023-06-30T00:00:00"/>
    <s v="P38"/>
    <n v="22"/>
    <x v="3"/>
    <s v="Es correcto señalar respecto de la modalidad de pensión de Renta Vitalicia Inmediata con Retiro Programado que"/>
  </r>
  <r>
    <s v="Asesores Previsionales "/>
    <d v="2023-11-24T00:00:00"/>
    <s v="P4"/>
    <n v="24"/>
    <x v="3"/>
    <s v="La Cláusula de aumento temporal de pensión para rentas vitalicias, podrá ser cotizada y contratada por afiliados que tramiten"/>
  </r>
  <r>
    <s v="Asesores Previsionales "/>
    <d v="2023-11-24T00:00:00"/>
    <s v="P6"/>
    <n v="25"/>
    <x v="3"/>
    <s v="Un pensionado de vejez contrató una Renta Vitalicia Inmediata Simple de 30 UF, con una cláusula de aumento temporal de un 50% por los primeros 10 años. El pensionado fallece al año 5 de estar recibiendo la pensión con aumento temporal, y sólo tiene como beneficiario una cónyuge. La pensión de sobrevivencia hasta el cumplimiento de los 10 años y después del décimo año será, respectivamente"/>
  </r>
  <r>
    <s v="Asesores Previsionales "/>
    <d v="2023-11-24T00:00:00"/>
    <s v="P21"/>
    <n v="26"/>
    <x v="3"/>
    <s v="Una vez seleccionada una renta vitalicia inmediata"/>
  </r>
  <r>
    <s v="Asesores Previsionales "/>
    <d v="2024-06-28T00:00:00"/>
    <s v="P31"/>
    <n v="38"/>
    <x v="3"/>
    <s v="Respecto a las condiciones especiales de cobertura en Rentas Vitalicias, es correcto señalar que la cláusula"/>
  </r>
  <r>
    <s v="Asesores Previsionales "/>
    <d v="2024-06-28T00:00:00"/>
    <s v="P33"/>
    <n v="39"/>
    <x v="3"/>
    <s v="Es correcto señalar respecto a la modalidad de pensión renta vitalicia inmediata con retiro programado, que"/>
  </r>
  <r>
    <s v="Asesores Previsionales "/>
    <d v="2024-06-28T00:00:00"/>
    <s v="P40"/>
    <n v="42"/>
    <x v="3"/>
    <s v="Un afiliado que desea pensionarse por vejez edad, que tiene como beneficiario de pensión una cónyuge, realizó una solicitud de ofertas, y entre otras ofertas recibió las siguientes"/>
  </r>
  <r>
    <s v="Asesores Previsionales "/>
    <d v="2024-11-29T00:00:00"/>
    <s v="P19"/>
    <n v="46"/>
    <x v="3"/>
    <s v="Respecto a la cláusula de aumento temporal de la pensión, no es correcto señalar que"/>
  </r>
  <r>
    <s v="Asesores Previsionales "/>
    <d v="2025-06-27T00:00:00"/>
    <s v="P19"/>
    <n v="53"/>
    <x v="3"/>
    <s v="Respecto a las solicitudes de ofertas al SCOMP (Sistema de Consultas y Ofertas de Montos de Pensión), es falso señalar que cuando se trata de"/>
  </r>
  <r>
    <s v="Asesores Previsionales "/>
    <d v="2025-06-27T00:00:00"/>
    <s v="P23"/>
    <n v="55"/>
    <x v="3"/>
    <s v="Un afiliado recibió su Certificado de Ofertas, y en las ofertas de Retiro Programado se le informa lo siguiente"/>
  </r>
  <r>
    <s v="Asesores Previsionales "/>
    <d v="2025-06-27T00:00:00"/>
    <s v="P29"/>
    <n v="56"/>
    <x v="3"/>
    <s v="De acuerdo a la información que se muestra en el siguiente cuadro, pueden contratar la modalidad de pensión de Renta Temporal con Renta Vitalicia Diferida"/>
  </r>
  <r>
    <s v="Asesores Previsionales "/>
    <d v="2025-06-27T00:00:00"/>
    <s v="P32"/>
    <n v="58"/>
    <x v="3"/>
    <s v="Para un afiliado pensionado en la opción de retiro programado, la anualidad y la pensión debe ser recalculada cada año, en el mismo mes calendario en que se devengó la pensión correspondiente. No obstante, corresponde realizar recálculos extraordinarios, en las siguientes situaciones: "/>
  </r>
  <r>
    <s v="Asesores Previsionales "/>
    <d v="2025-06-27T00:00:00"/>
    <s v="P39"/>
    <n v="59"/>
    <x v="3"/>
    <s v="La cláusula de aumento temporal de pensión, siempre se pueden requerir para las"/>
  </r>
  <r>
    <s v="Asesores Financieros Previsionales "/>
    <d v="2021-10-26T00:00:00"/>
    <s v="P13"/>
    <n v="65"/>
    <x v="3"/>
    <s v="¿Cuáles de las siguientes características la Renta Vitalicia, son verdaderas?"/>
  </r>
  <r>
    <s v="Asesores Financieros Previsionales "/>
    <d v="2021-10-26T00:00:00"/>
    <s v="P18"/>
    <n v="66"/>
    <x v="3"/>
    <s v="Respecto de la modalidad de pensión de renta vitalicia inmediata con retiro programado, ¿Cuál (es) de las siguientes afirmaciones es (son) correcta (s)?"/>
  </r>
  <r>
    <s v="Asesores Financieros Previsionales "/>
    <d v="2021-09-07T00:00:00"/>
    <s v="P7"/>
    <n v="71"/>
    <x v="3"/>
    <s v="¿Cuál(es) de las siguientes características del Retiro Programado son verdaderas?"/>
  </r>
  <r>
    <s v="Asesores Financieros Previsionales "/>
    <d v="2021-09-07T00:00:00"/>
    <s v="P8"/>
    <n v="72"/>
    <x v="3"/>
    <s v="Cual(es) de las siguientes características de la Renta Vitalicia, es o son Falsa(s): "/>
  </r>
  <r>
    <s v="Asesores Financieros Previsionales "/>
    <d v="2021-09-07T00:00:00"/>
    <s v="P19"/>
    <n v="74"/>
    <x v="3"/>
    <s v="Las cláusulas adicionales del contrato de renta vitalicia permiten"/>
  </r>
  <r>
    <s v="Asesores Financieros Previsionales "/>
    <d v="2021-09-07T00:00:00"/>
    <s v="P20"/>
    <n v="75"/>
    <x v="3"/>
    <s v="En la renta temporal con renta vitalicia diferida, el pensionado"/>
  </r>
  <r>
    <s v="Asesores Previsionales "/>
    <d v="2022-11-25T00:00:00"/>
    <s v="P9"/>
    <n v="3"/>
    <x v="4"/>
    <s v="Entre otros fondos, constituyen herencia: "/>
  </r>
  <r>
    <s v="Asesores Previsionales "/>
    <d v="2022-11-25T00:00:00"/>
    <s v="P17"/>
    <n v="9"/>
    <x v="4"/>
    <s v="Para que el padre de un hijo de filiación no matrimonial de una afiliada fallecida, tenga derecho a pensión, se debe cumplir al momento del fallecimiento, entre otros, con lo siguiente"/>
  </r>
  <r>
    <s v="Asesores Previsionales "/>
    <d v="2023-06-30T00:00:00"/>
    <s v="P35"/>
    <n v="21"/>
    <x v="4"/>
    <s v="La pensión de referencia de los beneficiarios de pensión de sobrevivencia, cuando se trata del o la conviviente civil, será"/>
  </r>
  <r>
    <s v="Asesores Previsionales "/>
    <d v="2024-06-28T00:00:00"/>
    <s v="P28"/>
    <n v="36"/>
    <x v="4"/>
    <s v="Es correcto señalar para los siguientes beneficiarios de pensión de sobrevivencia (PS), que su pensión de referencia es, equivalente a los siguientes porcentajes de la pensión de referencia (PR) del causante"/>
  </r>
  <r>
    <s v="Asesores Previsionales "/>
    <d v="2024-06-28T00:00:00"/>
    <s v="P34"/>
    <n v="40"/>
    <x v="4"/>
    <s v="Si al fallecimiento del afiliado existieran fondos en la cuenta individual de cotizaciones obligatorias, de acuerdo con la información que se proporciona en la tabla siguiente, pueden solicitar retiro de herencia"/>
  </r>
  <r>
    <s v="Asesores Previsionales "/>
    <d v="2024-06-28T00:00:00"/>
    <s v="P38"/>
    <n v="41"/>
    <x v="4"/>
    <s v="Es correcto señalar, que, en el caso de cónyuge y conviviente civil, es requisito para considerarse como beneficiarios de pensión de sobrevivencia de un causante no pensionado, que"/>
  </r>
  <r>
    <s v="Asesores Previsionales "/>
    <d v="2024-11-29T00:00:00"/>
    <s v="P13"/>
    <n v="43"/>
    <x v="4"/>
    <s v="Cuando los afiliados o beneficiarios de pensión de sobrevivencia, realizan su tramitación en el SCOMP en forma directa (sin intermediación), es incorrecto señalar que éstos pueden realizar la"/>
  </r>
  <r>
    <s v="Asesores Previsionales "/>
    <d v="2024-11-29T00:00:00"/>
    <s v="P18"/>
    <n v="45"/>
    <x v="4"/>
    <s v="El o la conviviente civil, pueden ser beneficiario o beneficiaría de pensión de sobrevivencia, cumpliendo determinados requisitos. De acuerdo a la información que se proporciona en la tabla siguiente, es correcto señalar que son beneficiarios de pensión de sobrevivencia los convivientes civiles"/>
  </r>
  <r>
    <s v="Asesores Previsionales "/>
    <d v="2025-06-27T00:00:00"/>
    <s v="P21"/>
    <n v="54"/>
    <x v="4"/>
    <s v="Constituyen Herencia los fondos de la cuenta de capitalización individual, quedados al fallecimiento de un causante y no contando éste con beneficiarios de pensión de sobrevivencia, en los siguientes casos"/>
  </r>
  <r>
    <s v="Asesores Previsionales "/>
    <d v="2025-06-27T00:00:00"/>
    <s v="P31"/>
    <n v="57"/>
    <x v="4"/>
    <s v="Los hijos mayores de 18 años y menores de 24 años de edad solo recibirán pago de pensiones de sobrevivencia mientras tengan la calidad de estudiantes, al respecto es falso señalar que"/>
  </r>
  <r>
    <s v="Asesores Financieros Previsionales "/>
    <d v="2021-10-26T00:00:00"/>
    <s v="P12"/>
    <n v="64"/>
    <x v="4"/>
    <s v="El sistema de pensiones permite que el saldo del afiliado fallecido siempre constituye herencia cuando"/>
  </r>
  <r>
    <s v="Asesores Previsionales "/>
    <d v="2023-11-24T00:00:00"/>
    <s v="P24"/>
    <n v="27"/>
    <x v="5"/>
    <s v="Los afiliados solo pueden mantener las cotizaciones obligatorias en una Administradora de Fondos de Pensiones (AFP), no obstante podrán mantener simultáneamente en más de una AFP recursos originados en"/>
  </r>
  <r>
    <s v="Asesores Financieros Previsionales "/>
    <d v="2024-05-08T00:00:00"/>
    <s v="P13"/>
    <n v="78"/>
    <x v="5"/>
    <s v="¿Cuál o cuáles de los siguientes recursos previsionales pueden ser destinados a pensión?: "/>
  </r>
  <r>
    <s v="Asesores Previsionales "/>
    <d v="2022-11-25T00:00:00"/>
    <s v="P4"/>
    <n v="1"/>
    <x v="6"/>
    <s v="Son requisitos para acceder a la Pensión Garantizada Universal (PGU):"/>
  </r>
  <r>
    <s v="Asesores Previsionales "/>
    <d v="2023-06-30T00:00:00"/>
    <s v="P10"/>
    <n v="14"/>
    <x v="6"/>
    <s v="Para ser beneficiario de la Pensión Garantizada Universal (PGU) se debe cumplir entre otros los siguientes requisitos"/>
  </r>
  <r>
    <s v="Asesores Previsionales "/>
    <d v="2023-06-30T00:00:00"/>
    <s v="P11"/>
    <n v="15"/>
    <x v="6"/>
    <s v="La Pensión Garantiza Universal (PGU) es pagada directamente por"/>
  </r>
  <r>
    <s v="Asesores Previsionales "/>
    <d v="2023-11-24T00:00:00"/>
    <s v="P37"/>
    <n v="29"/>
    <x v="6"/>
    <s v="Para que se otorgue la Pensión Garantizada Universal (PGU) la persona debe cumplir entre otros, los siguientes requisitos"/>
  </r>
  <r>
    <s v="Asesores Previsionales "/>
    <d v="2024-06-28T00:00:00"/>
    <s v="P1"/>
    <n v="30"/>
    <x v="6"/>
    <s v="Para obtener la Pensión Garantizada Universal, entre otros se debe cumplir"/>
  </r>
  <r>
    <s v="Asesores Previsionales "/>
    <d v="2024-06-28T00:00:00"/>
    <s v="P2"/>
    <n v="31"/>
    <x v="6"/>
    <s v="En el marco de la Pensión Garantizada Universal (PGU) la Pensión Autofinanciada de Referencia (PAFE) es un parámetro que se determina"/>
  </r>
  <r>
    <s v="Asesores Previsionales "/>
    <d v="2024-06-28T00:00:00"/>
    <s v="P4"/>
    <n v="32"/>
    <x v="6"/>
    <s v="La Pensión Garantizada Universal (PGU) se extingue si el beneficiario"/>
  </r>
  <r>
    <s v="Asesores Previsionales "/>
    <d v="2024-06-28T00:00:00"/>
    <s v="P6"/>
    <n v="33"/>
    <x v="6"/>
    <s v="Con respecto al monto del beneficio de la Pensión Garantizada Universal (PGU), es correcto señalar que"/>
  </r>
  <r>
    <s v="Asesores Previsionales "/>
    <d v="2024-11-29T00:00:00"/>
    <s v="P20"/>
    <n v="47"/>
    <x v="6"/>
    <s v="Quien determina el cumplimiento de los requisitos de acceso al beneficio de la Pensión Garantiza Universal es"/>
  </r>
  <r>
    <s v="Asesores Previsionales "/>
    <d v="2024-11-29T00:00:00"/>
    <s v="P21"/>
    <n v="48"/>
    <x v="6"/>
    <s v="La Pensión Garantizada Universal (PGU), puede ser solicitada en"/>
  </r>
  <r>
    <s v="Asesores Previsionales "/>
    <d v="2024-11-29T00:00:00"/>
    <s v="P24"/>
    <n v="49"/>
    <x v="6"/>
    <s v="Es correcto señalar, que no pueden acceder al beneficio de la Pensión Garantizada Universal (PGU)"/>
  </r>
  <r>
    <s v="Asesores Previsionales "/>
    <d v="2025-06-27T00:00:00"/>
    <s v="P5"/>
    <n v="50"/>
    <x v="6"/>
    <s v="Respecto de la PGU es incorrecto decir que se extinguirá por"/>
  </r>
  <r>
    <s v="Asesores Previsionales "/>
    <d v="2025-06-27T00:00:00"/>
    <s v="P7"/>
    <n v="51"/>
    <x v="6"/>
    <s v="Respecto de la PGU es correcto señalar que quien la concede 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4DDFEC-5382-4200-B2D5-6F0A1D66E40C}"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 firstHeaderRow="1" firstDataRow="1" firstDataCol="1"/>
  <pivotFields count="6">
    <pivotField showAll="0"/>
    <pivotField numFmtId="14" showAll="0"/>
    <pivotField showAll="0"/>
    <pivotField dataField="1" showAll="0"/>
    <pivotField axis="axisRow" showAll="0">
      <items count="8">
        <item x="0"/>
        <item x="1"/>
        <item x="2"/>
        <item x="3"/>
        <item x="4"/>
        <item x="5"/>
        <item x="6"/>
        <item t="default"/>
      </items>
    </pivotField>
    <pivotField showAll="0"/>
  </pivotFields>
  <rowFields count="1">
    <field x="4"/>
  </rowFields>
  <rowItems count="8">
    <i>
      <x/>
    </i>
    <i>
      <x v="1"/>
    </i>
    <i>
      <x v="2"/>
    </i>
    <i>
      <x v="3"/>
    </i>
    <i>
      <x v="4"/>
    </i>
    <i>
      <x v="5"/>
    </i>
    <i>
      <x v="6"/>
    </i>
    <i t="grand">
      <x/>
    </i>
  </rowItems>
  <colItems count="1">
    <i/>
  </colItems>
  <dataFields count="1">
    <dataField name="Cuenta de Id_Pregunta_anexo"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124" workbookViewId="0">
      <selection activeCell="B17" sqref="B17"/>
    </sheetView>
  </sheetViews>
  <sheetFormatPr baseColWidth="10" defaultColWidth="9" defaultRowHeight="15" x14ac:dyDescent="0.25"/>
  <cols>
    <col min="2" max="2" width="38.42578125" bestFit="1" customWidth="1"/>
    <col min="3" max="3" width="70.28515625" bestFit="1" customWidth="1"/>
    <col min="4" max="4" width="15.140625" bestFit="1" customWidth="1"/>
  </cols>
  <sheetData>
    <row r="1" spans="1:4" x14ac:dyDescent="0.25">
      <c r="A1" s="1" t="s">
        <v>0</v>
      </c>
      <c r="B1" s="1" t="s">
        <v>1</v>
      </c>
      <c r="C1" s="1" t="s">
        <v>2</v>
      </c>
      <c r="D1" s="1" t="s">
        <v>3</v>
      </c>
    </row>
    <row r="2" spans="1:4" x14ac:dyDescent="0.25">
      <c r="A2" s="3" t="s">
        <v>4</v>
      </c>
      <c r="B2" s="3" t="s">
        <v>18</v>
      </c>
      <c r="C2" s="3" t="s">
        <v>32</v>
      </c>
      <c r="D2" s="3" t="s">
        <v>41</v>
      </c>
    </row>
    <row r="3" spans="1:4" x14ac:dyDescent="0.25">
      <c r="A3" s="2" t="s">
        <v>5</v>
      </c>
      <c r="B3" s="2" t="s">
        <v>19</v>
      </c>
      <c r="C3" s="2" t="s">
        <v>33</v>
      </c>
      <c r="D3" s="2" t="s">
        <v>42</v>
      </c>
    </row>
    <row r="4" spans="1:4" x14ac:dyDescent="0.25">
      <c r="A4" s="3" t="s">
        <v>6</v>
      </c>
      <c r="B4" s="3" t="s">
        <v>20</v>
      </c>
      <c r="C4" s="3" t="s">
        <v>34</v>
      </c>
      <c r="D4" s="3" t="s">
        <v>43</v>
      </c>
    </row>
    <row r="5" spans="1:4" x14ac:dyDescent="0.25">
      <c r="A5" s="3" t="s">
        <v>7</v>
      </c>
      <c r="B5" s="3" t="s">
        <v>55</v>
      </c>
      <c r="C5" s="3" t="s">
        <v>35</v>
      </c>
      <c r="D5" s="3" t="s">
        <v>56</v>
      </c>
    </row>
    <row r="6" spans="1:4" x14ac:dyDescent="0.25">
      <c r="A6" s="3" t="s">
        <v>8</v>
      </c>
      <c r="B6" s="3" t="s">
        <v>54</v>
      </c>
      <c r="C6" s="3" t="s">
        <v>59</v>
      </c>
      <c r="D6" s="3" t="s">
        <v>60</v>
      </c>
    </row>
    <row r="7" spans="1:4" x14ac:dyDescent="0.25">
      <c r="A7" s="3" t="s">
        <v>9</v>
      </c>
      <c r="B7" s="3" t="s">
        <v>27</v>
      </c>
      <c r="C7" s="3" t="s">
        <v>36</v>
      </c>
      <c r="D7" s="3" t="s">
        <v>44</v>
      </c>
    </row>
    <row r="8" spans="1:4" x14ac:dyDescent="0.25">
      <c r="A8" s="3" t="s">
        <v>10</v>
      </c>
      <c r="B8" s="3" t="s">
        <v>28</v>
      </c>
      <c r="C8" s="3" t="s">
        <v>37</v>
      </c>
      <c r="D8" s="3" t="s">
        <v>45</v>
      </c>
    </row>
    <row r="9" spans="1:4" x14ac:dyDescent="0.25">
      <c r="A9" s="3" t="s">
        <v>11</v>
      </c>
      <c r="B9" s="3" t="s">
        <v>57</v>
      </c>
      <c r="C9" s="3" t="s">
        <v>38</v>
      </c>
      <c r="D9" s="3" t="s">
        <v>46</v>
      </c>
    </row>
    <row r="10" spans="1:4" x14ac:dyDescent="0.25">
      <c r="A10" s="2" t="s">
        <v>12</v>
      </c>
      <c r="B10" s="2" t="s">
        <v>30</v>
      </c>
      <c r="C10" s="2" t="s">
        <v>39</v>
      </c>
      <c r="D10" s="2" t="s">
        <v>47</v>
      </c>
    </row>
    <row r="11" spans="1:4" x14ac:dyDescent="0.25">
      <c r="A11" s="3" t="s">
        <v>13</v>
      </c>
      <c r="B11" s="3" t="s">
        <v>58</v>
      </c>
      <c r="C11" s="3" t="s">
        <v>40</v>
      </c>
      <c r="D11" s="3" t="s">
        <v>48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E5BA5-7100-4A22-855F-77962DC4F6E9}">
  <dimension ref="A1:I12"/>
  <sheetViews>
    <sheetView zoomScale="102" workbookViewId="0">
      <selection activeCell="C12" sqref="C12"/>
    </sheetView>
  </sheetViews>
  <sheetFormatPr baseColWidth="10" defaultColWidth="9" defaultRowHeight="15" x14ac:dyDescent="0.25"/>
  <cols>
    <col min="2" max="2" width="26.5703125" customWidth="1"/>
    <col min="3" max="3" width="41.5703125" customWidth="1"/>
    <col min="4" max="4" width="13.140625" customWidth="1"/>
    <col min="9" max="9" width="32.42578125" customWidth="1"/>
  </cols>
  <sheetData>
    <row r="1" spans="1:9" ht="45" x14ac:dyDescent="0.25">
      <c r="A1" s="4" t="s">
        <v>61</v>
      </c>
      <c r="B1" s="4" t="s">
        <v>62</v>
      </c>
      <c r="C1" s="4" t="s">
        <v>63</v>
      </c>
      <c r="D1" s="4" t="s">
        <v>64</v>
      </c>
      <c r="E1" s="4" t="s">
        <v>65</v>
      </c>
      <c r="F1" s="4" t="s">
        <v>66</v>
      </c>
      <c r="G1" s="4" t="s">
        <v>67</v>
      </c>
      <c r="H1" s="4" t="s">
        <v>70</v>
      </c>
      <c r="I1" s="4" t="s">
        <v>68</v>
      </c>
    </row>
    <row r="2" spans="1:9" ht="30" x14ac:dyDescent="0.25">
      <c r="A2" s="3" t="s">
        <v>4</v>
      </c>
      <c r="B2" s="6" t="s">
        <v>18</v>
      </c>
      <c r="C2" s="5" t="s">
        <v>69</v>
      </c>
      <c r="D2">
        <v>1</v>
      </c>
      <c r="E2">
        <v>0</v>
      </c>
      <c r="F2">
        <v>1</v>
      </c>
      <c r="G2" t="s">
        <v>51</v>
      </c>
      <c r="H2">
        <v>40</v>
      </c>
      <c r="I2" s="5" t="s">
        <v>71</v>
      </c>
    </row>
    <row r="3" spans="1:9" ht="30" x14ac:dyDescent="0.25">
      <c r="A3" s="2" t="s">
        <v>5</v>
      </c>
      <c r="B3" s="7" t="s">
        <v>19</v>
      </c>
      <c r="C3" s="5" t="s">
        <v>72</v>
      </c>
      <c r="D3">
        <v>1</v>
      </c>
      <c r="E3">
        <v>0</v>
      </c>
      <c r="F3">
        <v>1</v>
      </c>
      <c r="G3" t="s">
        <v>51</v>
      </c>
      <c r="H3">
        <v>40</v>
      </c>
      <c r="I3" s="5" t="s">
        <v>71</v>
      </c>
    </row>
    <row r="4" spans="1:9" ht="30" x14ac:dyDescent="0.25">
      <c r="A4" s="3" t="s">
        <v>6</v>
      </c>
      <c r="B4" s="6" t="s">
        <v>20</v>
      </c>
      <c r="C4" s="5" t="s">
        <v>73</v>
      </c>
      <c r="D4">
        <v>1</v>
      </c>
      <c r="E4">
        <v>1</v>
      </c>
      <c r="F4">
        <v>2</v>
      </c>
      <c r="G4" t="s">
        <v>488</v>
      </c>
      <c r="H4">
        <v>80</v>
      </c>
      <c r="I4" s="5" t="s">
        <v>71</v>
      </c>
    </row>
    <row r="5" spans="1:9" ht="45" x14ac:dyDescent="0.25">
      <c r="A5" s="3" t="s">
        <v>7</v>
      </c>
      <c r="B5" s="6" t="s">
        <v>55</v>
      </c>
      <c r="C5" s="5" t="s">
        <v>74</v>
      </c>
      <c r="D5">
        <v>2</v>
      </c>
      <c r="E5">
        <v>1</v>
      </c>
      <c r="F5">
        <v>3</v>
      </c>
      <c r="G5" t="s">
        <v>489</v>
      </c>
      <c r="H5">
        <v>150</v>
      </c>
      <c r="I5" s="5" t="s">
        <v>75</v>
      </c>
    </row>
    <row r="6" spans="1:9" ht="30" x14ac:dyDescent="0.25">
      <c r="A6" s="3" t="s">
        <v>8</v>
      </c>
      <c r="B6" s="6" t="s">
        <v>54</v>
      </c>
      <c r="C6" s="5" t="s">
        <v>76</v>
      </c>
      <c r="D6">
        <v>1</v>
      </c>
      <c r="E6">
        <v>2</v>
      </c>
      <c r="F6">
        <v>3</v>
      </c>
      <c r="G6" t="s">
        <v>490</v>
      </c>
      <c r="H6">
        <v>150</v>
      </c>
      <c r="I6" s="5" t="s">
        <v>75</v>
      </c>
    </row>
    <row r="7" spans="1:9" ht="30" x14ac:dyDescent="0.25">
      <c r="A7" s="3" t="s">
        <v>9</v>
      </c>
      <c r="B7" s="6" t="s">
        <v>27</v>
      </c>
      <c r="C7" s="5" t="s">
        <v>80</v>
      </c>
      <c r="D7">
        <v>1</v>
      </c>
      <c r="E7">
        <v>1</v>
      </c>
      <c r="F7">
        <v>2</v>
      </c>
      <c r="G7" t="s">
        <v>488</v>
      </c>
      <c r="H7">
        <v>100</v>
      </c>
      <c r="I7" s="5" t="s">
        <v>81</v>
      </c>
    </row>
    <row r="8" spans="1:9" ht="30" x14ac:dyDescent="0.25">
      <c r="A8" s="3" t="s">
        <v>10</v>
      </c>
      <c r="B8" s="6" t="s">
        <v>28</v>
      </c>
      <c r="C8" s="5" t="s">
        <v>82</v>
      </c>
      <c r="D8">
        <v>1</v>
      </c>
      <c r="E8">
        <v>0</v>
      </c>
      <c r="F8">
        <v>1</v>
      </c>
      <c r="G8" t="s">
        <v>51</v>
      </c>
      <c r="H8">
        <v>40</v>
      </c>
      <c r="I8" s="5" t="s">
        <v>71</v>
      </c>
    </row>
    <row r="9" spans="1:9" ht="45" x14ac:dyDescent="0.25">
      <c r="A9" s="3" t="s">
        <v>11</v>
      </c>
      <c r="B9" s="6" t="s">
        <v>57</v>
      </c>
      <c r="C9" s="5" t="s">
        <v>83</v>
      </c>
      <c r="D9">
        <v>1</v>
      </c>
      <c r="E9">
        <v>0</v>
      </c>
      <c r="F9">
        <v>1</v>
      </c>
      <c r="G9" t="s">
        <v>51</v>
      </c>
      <c r="H9">
        <v>40</v>
      </c>
      <c r="I9" s="5" t="s">
        <v>84</v>
      </c>
    </row>
    <row r="10" spans="1:9" ht="30" x14ac:dyDescent="0.25">
      <c r="A10" s="3" t="s">
        <v>12</v>
      </c>
      <c r="B10" s="6" t="s">
        <v>30</v>
      </c>
      <c r="C10" s="5" t="s">
        <v>85</v>
      </c>
      <c r="D10">
        <v>1</v>
      </c>
      <c r="E10">
        <v>0</v>
      </c>
      <c r="F10">
        <v>1</v>
      </c>
      <c r="G10" t="s">
        <v>51</v>
      </c>
      <c r="H10">
        <v>40</v>
      </c>
      <c r="I10" s="5" t="s">
        <v>75</v>
      </c>
    </row>
    <row r="11" spans="1:9" ht="30" x14ac:dyDescent="0.25">
      <c r="A11" s="3" t="s">
        <v>13</v>
      </c>
      <c r="B11" s="6" t="s">
        <v>58</v>
      </c>
      <c r="C11" s="5" t="s">
        <v>86</v>
      </c>
      <c r="D11">
        <v>1</v>
      </c>
      <c r="E11">
        <v>0</v>
      </c>
      <c r="F11">
        <v>1</v>
      </c>
      <c r="G11" t="s">
        <v>51</v>
      </c>
      <c r="H11">
        <v>40</v>
      </c>
      <c r="I11" s="5" t="s">
        <v>75</v>
      </c>
    </row>
    <row r="12" spans="1:9" x14ac:dyDescent="0.25">
      <c r="F12">
        <f>SUM(F2:F11)</f>
        <v>16</v>
      </c>
      <c r="H12">
        <f>SUM(H2:H11)/60</f>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FE247-E61D-40FE-A2EB-92C87110A2E7}">
  <dimension ref="A1:K8"/>
  <sheetViews>
    <sheetView tabSelected="1" zoomScale="115" zoomScaleNormal="115" workbookViewId="0">
      <selection activeCell="K5" sqref="K5"/>
    </sheetView>
  </sheetViews>
  <sheetFormatPr baseColWidth="10" defaultColWidth="9" defaultRowHeight="15" x14ac:dyDescent="0.25"/>
  <cols>
    <col min="2" max="2" width="26.5703125" customWidth="1"/>
    <col min="3" max="3" width="25.7109375" customWidth="1"/>
    <col min="4" max="4" width="12.5703125" customWidth="1"/>
    <col min="5" max="5" width="11.7109375" customWidth="1"/>
    <col min="9" max="9" width="32.42578125" customWidth="1"/>
    <col min="10" max="10" width="27.42578125" bestFit="1" customWidth="1"/>
    <col min="11" max="11" width="11" customWidth="1"/>
  </cols>
  <sheetData>
    <row r="1" spans="1:11" ht="45" x14ac:dyDescent="0.25">
      <c r="A1" s="4" t="s">
        <v>61</v>
      </c>
      <c r="B1" s="4" t="s">
        <v>62</v>
      </c>
      <c r="C1" s="4" t="s">
        <v>63</v>
      </c>
      <c r="D1" s="4" t="s">
        <v>64</v>
      </c>
      <c r="E1" s="4" t="s">
        <v>65</v>
      </c>
      <c r="F1" s="4" t="s">
        <v>66</v>
      </c>
      <c r="G1" s="4" t="s">
        <v>67</v>
      </c>
      <c r="H1" s="4" t="s">
        <v>70</v>
      </c>
      <c r="I1" s="4" t="s">
        <v>68</v>
      </c>
      <c r="J1" s="9"/>
      <c r="K1" s="18" t="s">
        <v>624</v>
      </c>
    </row>
    <row r="2" spans="1:11" ht="45" x14ac:dyDescent="0.25">
      <c r="A2" s="3" t="s">
        <v>4</v>
      </c>
      <c r="B2" s="6" t="s">
        <v>491</v>
      </c>
      <c r="C2" s="5" t="s">
        <v>69</v>
      </c>
      <c r="D2">
        <v>1</v>
      </c>
      <c r="E2">
        <v>1</v>
      </c>
      <c r="F2">
        <v>2</v>
      </c>
      <c r="G2" t="s">
        <v>492</v>
      </c>
      <c r="H2">
        <v>80</v>
      </c>
      <c r="I2" s="5" t="s">
        <v>71</v>
      </c>
      <c r="J2" s="17" t="s">
        <v>621</v>
      </c>
      <c r="K2" t="s">
        <v>626</v>
      </c>
    </row>
    <row r="3" spans="1:11" ht="75" x14ac:dyDescent="0.25">
      <c r="A3" s="3" t="s">
        <v>7</v>
      </c>
      <c r="B3" s="6" t="s">
        <v>55</v>
      </c>
      <c r="C3" s="5" t="s">
        <v>74</v>
      </c>
      <c r="D3">
        <v>2</v>
      </c>
      <c r="E3">
        <v>1</v>
      </c>
      <c r="F3">
        <v>3</v>
      </c>
      <c r="G3" t="s">
        <v>489</v>
      </c>
      <c r="H3">
        <v>150</v>
      </c>
      <c r="I3" s="5" t="s">
        <v>75</v>
      </c>
      <c r="J3" s="11" t="s">
        <v>622</v>
      </c>
      <c r="K3" t="s">
        <v>627</v>
      </c>
    </row>
    <row r="4" spans="1:11" ht="38.25" customHeight="1" x14ac:dyDescent="0.25">
      <c r="A4" s="3" t="s">
        <v>8</v>
      </c>
      <c r="B4" s="6" t="s">
        <v>54</v>
      </c>
      <c r="C4" s="5" t="s">
        <v>76</v>
      </c>
      <c r="D4">
        <v>1</v>
      </c>
      <c r="E4">
        <v>2</v>
      </c>
      <c r="F4">
        <v>3</v>
      </c>
      <c r="G4" t="s">
        <v>490</v>
      </c>
      <c r="H4">
        <v>150</v>
      </c>
      <c r="I4" s="5" t="s">
        <v>75</v>
      </c>
      <c r="J4" s="11" t="s">
        <v>623</v>
      </c>
      <c r="K4" t="s">
        <v>629</v>
      </c>
    </row>
    <row r="5" spans="1:11" ht="39.75" customHeight="1" x14ac:dyDescent="0.25">
      <c r="A5" s="3" t="s">
        <v>9</v>
      </c>
      <c r="B5" s="6" t="s">
        <v>493</v>
      </c>
      <c r="C5" s="5" t="s">
        <v>80</v>
      </c>
      <c r="D5">
        <v>1</v>
      </c>
      <c r="E5">
        <v>1</v>
      </c>
      <c r="F5">
        <v>2</v>
      </c>
      <c r="G5" t="s">
        <v>488</v>
      </c>
      <c r="H5">
        <v>100</v>
      </c>
      <c r="I5" s="5" t="s">
        <v>81</v>
      </c>
      <c r="J5" s="11" t="s">
        <v>622</v>
      </c>
      <c r="K5" t="s">
        <v>628</v>
      </c>
    </row>
    <row r="6" spans="1:11" ht="45" x14ac:dyDescent="0.25">
      <c r="A6" s="3" t="s">
        <v>13</v>
      </c>
      <c r="B6" s="6" t="s">
        <v>58</v>
      </c>
      <c r="C6" s="5" t="s">
        <v>86</v>
      </c>
      <c r="D6">
        <v>1</v>
      </c>
      <c r="E6">
        <v>0</v>
      </c>
      <c r="F6">
        <v>1</v>
      </c>
      <c r="G6" t="s">
        <v>51</v>
      </c>
      <c r="H6">
        <v>40</v>
      </c>
      <c r="I6" s="5" t="s">
        <v>75</v>
      </c>
      <c r="J6" s="10" t="s">
        <v>621</v>
      </c>
      <c r="K6" t="s">
        <v>625</v>
      </c>
    </row>
    <row r="7" spans="1:11" ht="30" x14ac:dyDescent="0.25">
      <c r="A7" s="3" t="s">
        <v>494</v>
      </c>
      <c r="B7" s="6" t="s">
        <v>494</v>
      </c>
      <c r="C7" s="5"/>
      <c r="D7">
        <v>2</v>
      </c>
      <c r="E7">
        <v>0</v>
      </c>
      <c r="F7">
        <v>1</v>
      </c>
      <c r="G7" t="s">
        <v>488</v>
      </c>
      <c r="H7">
        <v>120</v>
      </c>
      <c r="I7" s="5" t="s">
        <v>71</v>
      </c>
      <c r="J7" s="10"/>
    </row>
    <row r="8" spans="1:11" x14ac:dyDescent="0.25">
      <c r="F8">
        <f>SUM(F2:F7)</f>
        <v>12</v>
      </c>
      <c r="H8">
        <f>SUM(H2:H7)/60</f>
        <v>10.666666666666666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035E-5842-4471-96A6-511EDFCBEE5C}">
  <dimension ref="A1:J81"/>
  <sheetViews>
    <sheetView topLeftCell="A33" workbookViewId="0">
      <selection activeCell="F10" sqref="F10"/>
    </sheetView>
  </sheetViews>
  <sheetFormatPr baseColWidth="10" defaultRowHeight="15" x14ac:dyDescent="0.25"/>
  <cols>
    <col min="1" max="1" width="37" bestFit="1" customWidth="1"/>
    <col min="6" max="6" width="20" bestFit="1" customWidth="1"/>
  </cols>
  <sheetData>
    <row r="1" spans="1:10" x14ac:dyDescent="0.25">
      <c r="A1" t="s">
        <v>573</v>
      </c>
      <c r="B1" t="s">
        <v>572</v>
      </c>
      <c r="C1" t="s">
        <v>510</v>
      </c>
      <c r="D1" t="s">
        <v>509</v>
      </c>
      <c r="E1" t="s">
        <v>495</v>
      </c>
      <c r="F1" t="s">
        <v>496</v>
      </c>
    </row>
    <row r="2" spans="1:10" ht="15.75" x14ac:dyDescent="0.25">
      <c r="A2" s="12" t="s">
        <v>574</v>
      </c>
      <c r="B2" s="14">
        <v>44890</v>
      </c>
      <c r="C2" t="s">
        <v>515</v>
      </c>
      <c r="D2">
        <v>5</v>
      </c>
      <c r="E2" t="s">
        <v>4</v>
      </c>
      <c r="F2" s="12" t="s">
        <v>501</v>
      </c>
      <c r="G2" s="13"/>
      <c r="H2" s="8"/>
      <c r="J2" s="13"/>
    </row>
    <row r="3" spans="1:10" ht="15.75" x14ac:dyDescent="0.25">
      <c r="A3" s="12" t="s">
        <v>574</v>
      </c>
      <c r="B3" s="14">
        <v>45107</v>
      </c>
      <c r="C3" t="s">
        <v>519</v>
      </c>
      <c r="D3">
        <v>17</v>
      </c>
      <c r="E3" t="s">
        <v>4</v>
      </c>
      <c r="F3" s="12" t="s">
        <v>537</v>
      </c>
    </row>
    <row r="4" spans="1:10" ht="15.75" x14ac:dyDescent="0.25">
      <c r="A4" s="12" t="s">
        <v>574</v>
      </c>
      <c r="B4" s="14">
        <v>45254</v>
      </c>
      <c r="C4" t="s">
        <v>547</v>
      </c>
      <c r="D4">
        <v>23</v>
      </c>
      <c r="E4" t="s">
        <v>4</v>
      </c>
      <c r="F4" s="12" t="s">
        <v>548</v>
      </c>
    </row>
    <row r="5" spans="1:10" ht="15.75" x14ac:dyDescent="0.25">
      <c r="A5" s="12" t="s">
        <v>574</v>
      </c>
      <c r="B5" s="14">
        <v>45254</v>
      </c>
      <c r="C5" t="s">
        <v>543</v>
      </c>
      <c r="D5">
        <v>28</v>
      </c>
      <c r="E5" t="s">
        <v>4</v>
      </c>
      <c r="F5" s="12" t="s">
        <v>554</v>
      </c>
    </row>
    <row r="6" spans="1:10" ht="15.75" x14ac:dyDescent="0.25">
      <c r="A6" s="12" t="s">
        <v>574</v>
      </c>
      <c r="B6" s="14">
        <v>45471</v>
      </c>
      <c r="C6" t="s">
        <v>557</v>
      </c>
      <c r="D6">
        <v>34</v>
      </c>
      <c r="E6" t="s">
        <v>4</v>
      </c>
      <c r="F6" s="12" t="s">
        <v>563</v>
      </c>
    </row>
    <row r="7" spans="1:10" ht="15.75" x14ac:dyDescent="0.25">
      <c r="A7" s="12" t="s">
        <v>597</v>
      </c>
      <c r="B7" s="14">
        <v>44495</v>
      </c>
      <c r="C7" t="s">
        <v>523</v>
      </c>
      <c r="D7">
        <v>61</v>
      </c>
      <c r="E7" t="s">
        <v>4</v>
      </c>
      <c r="F7" s="12" t="s">
        <v>599</v>
      </c>
    </row>
    <row r="8" spans="1:10" ht="15.75" x14ac:dyDescent="0.25">
      <c r="A8" s="12" t="s">
        <v>597</v>
      </c>
      <c r="B8" s="14">
        <v>44495</v>
      </c>
      <c r="C8" t="s">
        <v>511</v>
      </c>
      <c r="D8">
        <v>63</v>
      </c>
      <c r="E8" t="s">
        <v>4</v>
      </c>
      <c r="F8" s="12" t="s">
        <v>601</v>
      </c>
    </row>
    <row r="9" spans="1:10" ht="15.75" x14ac:dyDescent="0.25">
      <c r="A9" s="12" t="s">
        <v>597</v>
      </c>
      <c r="B9" s="14">
        <v>44495</v>
      </c>
      <c r="C9" t="s">
        <v>528</v>
      </c>
      <c r="D9">
        <v>67</v>
      </c>
      <c r="E9" t="s">
        <v>4</v>
      </c>
      <c r="F9" s="12" t="s">
        <v>605</v>
      </c>
    </row>
    <row r="10" spans="1:10" ht="15.75" x14ac:dyDescent="0.25">
      <c r="A10" s="12" t="s">
        <v>597</v>
      </c>
      <c r="B10" s="14">
        <v>44446</v>
      </c>
      <c r="C10" t="s">
        <v>556</v>
      </c>
      <c r="D10">
        <v>68</v>
      </c>
      <c r="E10" t="s">
        <v>4</v>
      </c>
      <c r="F10" s="12" t="s">
        <v>606</v>
      </c>
    </row>
    <row r="11" spans="1:10" ht="15.75" x14ac:dyDescent="0.25">
      <c r="A11" s="12" t="s">
        <v>597</v>
      </c>
      <c r="B11" s="14">
        <v>44446</v>
      </c>
      <c r="C11" t="s">
        <v>583</v>
      </c>
      <c r="D11">
        <v>69</v>
      </c>
      <c r="E11" t="s">
        <v>4</v>
      </c>
      <c r="F11" s="12" t="s">
        <v>607</v>
      </c>
    </row>
    <row r="12" spans="1:10" ht="15.75" x14ac:dyDescent="0.25">
      <c r="A12" s="12" t="s">
        <v>597</v>
      </c>
      <c r="B12" s="14">
        <v>45790</v>
      </c>
      <c r="C12" t="s">
        <v>598</v>
      </c>
      <c r="D12">
        <v>80</v>
      </c>
      <c r="E12" t="s">
        <v>4</v>
      </c>
      <c r="F12" s="12" t="s">
        <v>617</v>
      </c>
    </row>
    <row r="13" spans="1:10" ht="15.75" x14ac:dyDescent="0.25">
      <c r="A13" s="12" t="s">
        <v>574</v>
      </c>
      <c r="B13" s="14">
        <v>44890</v>
      </c>
      <c r="C13" t="s">
        <v>518</v>
      </c>
      <c r="D13">
        <v>8</v>
      </c>
      <c r="E13" t="s">
        <v>13</v>
      </c>
      <c r="F13" s="12" t="s">
        <v>504</v>
      </c>
    </row>
    <row r="14" spans="1:10" ht="15.75" x14ac:dyDescent="0.25">
      <c r="A14" s="12" t="s">
        <v>574</v>
      </c>
      <c r="B14" s="14">
        <v>45107</v>
      </c>
      <c r="C14" t="s">
        <v>523</v>
      </c>
      <c r="D14">
        <v>13</v>
      </c>
      <c r="E14" t="s">
        <v>13</v>
      </c>
      <c r="F14" s="12" t="s">
        <v>524</v>
      </c>
    </row>
    <row r="15" spans="1:10" ht="15.75" x14ac:dyDescent="0.25">
      <c r="A15" s="12" t="s">
        <v>574</v>
      </c>
      <c r="B15" s="14">
        <v>45471</v>
      </c>
      <c r="C15" t="s">
        <v>516</v>
      </c>
      <c r="D15">
        <v>35</v>
      </c>
      <c r="E15" t="s">
        <v>13</v>
      </c>
      <c r="F15" s="12" t="s">
        <v>564</v>
      </c>
    </row>
    <row r="16" spans="1:10" ht="15.75" x14ac:dyDescent="0.25">
      <c r="A16" s="12" t="s">
        <v>597</v>
      </c>
      <c r="B16" s="14">
        <v>44495</v>
      </c>
      <c r="C16" t="s">
        <v>556</v>
      </c>
      <c r="D16">
        <v>62</v>
      </c>
      <c r="E16" t="s">
        <v>13</v>
      </c>
      <c r="F16" s="12" t="s">
        <v>600</v>
      </c>
    </row>
    <row r="17" spans="1:6" ht="15.75" x14ac:dyDescent="0.25">
      <c r="A17" s="12" t="s">
        <v>597</v>
      </c>
      <c r="B17" s="14">
        <v>44446</v>
      </c>
      <c r="C17" t="s">
        <v>515</v>
      </c>
      <c r="D17">
        <v>73</v>
      </c>
      <c r="E17" t="s">
        <v>13</v>
      </c>
      <c r="F17" s="12" t="s">
        <v>611</v>
      </c>
    </row>
    <row r="18" spans="1:6" ht="15.75" x14ac:dyDescent="0.25">
      <c r="A18" s="12" t="s">
        <v>574</v>
      </c>
      <c r="B18" s="14">
        <v>44890</v>
      </c>
      <c r="C18" t="s">
        <v>512</v>
      </c>
      <c r="D18">
        <v>2</v>
      </c>
      <c r="E18" t="s">
        <v>7</v>
      </c>
      <c r="F18" s="12" t="s">
        <v>498</v>
      </c>
    </row>
    <row r="19" spans="1:6" ht="15.75" x14ac:dyDescent="0.25">
      <c r="A19" s="12" t="s">
        <v>574</v>
      </c>
      <c r="B19" s="14">
        <v>44890</v>
      </c>
      <c r="C19" t="s">
        <v>517</v>
      </c>
      <c r="D19">
        <v>7</v>
      </c>
      <c r="E19" t="s">
        <v>7</v>
      </c>
      <c r="F19" s="12" t="s">
        <v>503</v>
      </c>
    </row>
    <row r="20" spans="1:6" ht="15.75" x14ac:dyDescent="0.25">
      <c r="A20" s="12" t="s">
        <v>574</v>
      </c>
      <c r="B20" s="14">
        <v>44890</v>
      </c>
      <c r="C20" t="s">
        <v>522</v>
      </c>
      <c r="D20">
        <v>12</v>
      </c>
      <c r="E20" t="s">
        <v>7</v>
      </c>
      <c r="F20" s="12" t="s">
        <v>508</v>
      </c>
    </row>
    <row r="21" spans="1:6" ht="15.75" x14ac:dyDescent="0.25">
      <c r="A21" s="12" t="s">
        <v>574</v>
      </c>
      <c r="B21" s="14">
        <v>45107</v>
      </c>
      <c r="C21" t="s">
        <v>541</v>
      </c>
      <c r="D21">
        <v>20</v>
      </c>
      <c r="E21" t="s">
        <v>7</v>
      </c>
      <c r="F21" s="12" t="s">
        <v>542</v>
      </c>
    </row>
    <row r="22" spans="1:6" ht="15.75" x14ac:dyDescent="0.25">
      <c r="A22" s="12" t="s">
        <v>574</v>
      </c>
      <c r="B22" s="14">
        <v>45471</v>
      </c>
      <c r="C22" t="s">
        <v>522</v>
      </c>
      <c r="D22">
        <v>37</v>
      </c>
      <c r="E22" t="s">
        <v>7</v>
      </c>
      <c r="F22" s="12" t="s">
        <v>566</v>
      </c>
    </row>
    <row r="23" spans="1:6" ht="15.75" x14ac:dyDescent="0.25">
      <c r="A23" s="12" t="s">
        <v>574</v>
      </c>
      <c r="B23" s="14">
        <v>45625</v>
      </c>
      <c r="C23" t="s">
        <v>518</v>
      </c>
      <c r="D23">
        <v>44</v>
      </c>
      <c r="E23" t="s">
        <v>7</v>
      </c>
      <c r="F23" s="12" t="s">
        <v>577</v>
      </c>
    </row>
    <row r="24" spans="1:6" ht="15.75" x14ac:dyDescent="0.25">
      <c r="A24" s="12" t="s">
        <v>574</v>
      </c>
      <c r="B24" s="14">
        <v>45835</v>
      </c>
      <c r="C24" t="s">
        <v>519</v>
      </c>
      <c r="D24">
        <v>52</v>
      </c>
      <c r="E24" t="s">
        <v>7</v>
      </c>
      <c r="F24" s="12" t="s">
        <v>587</v>
      </c>
    </row>
    <row r="25" spans="1:6" ht="15.75" x14ac:dyDescent="0.25">
      <c r="A25" s="12" t="s">
        <v>574</v>
      </c>
      <c r="B25" s="14">
        <v>45835</v>
      </c>
      <c r="C25" t="s">
        <v>558</v>
      </c>
      <c r="D25">
        <v>60</v>
      </c>
      <c r="E25" t="s">
        <v>7</v>
      </c>
      <c r="F25" s="12" t="s">
        <v>596</v>
      </c>
    </row>
    <row r="26" spans="1:6" ht="15.75" x14ac:dyDescent="0.25">
      <c r="A26" s="12" t="s">
        <v>597</v>
      </c>
      <c r="B26" s="14">
        <v>44446</v>
      </c>
      <c r="C26" t="s">
        <v>512</v>
      </c>
      <c r="D26">
        <v>70</v>
      </c>
      <c r="E26" t="s">
        <v>7</v>
      </c>
      <c r="F26" s="12" t="s">
        <v>608</v>
      </c>
    </row>
    <row r="27" spans="1:6" ht="15.75" x14ac:dyDescent="0.25">
      <c r="A27" s="12" t="s">
        <v>597</v>
      </c>
      <c r="B27" s="14">
        <v>44699</v>
      </c>
      <c r="C27" t="s">
        <v>528</v>
      </c>
      <c r="D27">
        <v>76</v>
      </c>
      <c r="E27" t="s">
        <v>7</v>
      </c>
      <c r="F27" s="12" t="s">
        <v>542</v>
      </c>
    </row>
    <row r="28" spans="1:6" ht="15.75" x14ac:dyDescent="0.25">
      <c r="A28" s="12" t="s">
        <v>597</v>
      </c>
      <c r="B28" s="14">
        <v>44699</v>
      </c>
      <c r="C28" t="s">
        <v>529</v>
      </c>
      <c r="D28">
        <v>77</v>
      </c>
      <c r="E28" t="s">
        <v>7</v>
      </c>
      <c r="F28" s="12" t="s">
        <v>614</v>
      </c>
    </row>
    <row r="29" spans="1:6" ht="15.75" x14ac:dyDescent="0.25">
      <c r="A29" s="12" t="s">
        <v>597</v>
      </c>
      <c r="B29" s="14">
        <v>45420</v>
      </c>
      <c r="C29" t="s">
        <v>516</v>
      </c>
      <c r="D29">
        <v>79</v>
      </c>
      <c r="E29" t="s">
        <v>7</v>
      </c>
      <c r="F29" s="12" t="s">
        <v>616</v>
      </c>
    </row>
    <row r="30" spans="1:6" ht="15.75" x14ac:dyDescent="0.25">
      <c r="A30" s="12" t="s">
        <v>574</v>
      </c>
      <c r="B30" s="14">
        <v>44890</v>
      </c>
      <c r="C30" t="s">
        <v>514</v>
      </c>
      <c r="D30">
        <v>4</v>
      </c>
      <c r="E30" t="s">
        <v>8</v>
      </c>
      <c r="F30" s="12" t="s">
        <v>500</v>
      </c>
    </row>
    <row r="31" spans="1:6" ht="15.75" x14ac:dyDescent="0.25">
      <c r="A31" s="12" t="s">
        <v>574</v>
      </c>
      <c r="B31" s="14">
        <v>44890</v>
      </c>
      <c r="C31" t="s">
        <v>516</v>
      </c>
      <c r="D31">
        <v>6</v>
      </c>
      <c r="E31" t="s">
        <v>8</v>
      </c>
      <c r="F31" s="12" t="s">
        <v>502</v>
      </c>
    </row>
    <row r="32" spans="1:6" ht="15.75" x14ac:dyDescent="0.25">
      <c r="A32" s="12" t="s">
        <v>574</v>
      </c>
      <c r="B32" s="14">
        <v>44890</v>
      </c>
      <c r="C32" t="s">
        <v>520</v>
      </c>
      <c r="D32">
        <v>10</v>
      </c>
      <c r="E32" t="s">
        <v>8</v>
      </c>
      <c r="F32" s="12" t="s">
        <v>506</v>
      </c>
    </row>
    <row r="33" spans="1:6" ht="15.75" x14ac:dyDescent="0.25">
      <c r="A33" s="12" t="s">
        <v>574</v>
      </c>
      <c r="B33" s="14">
        <v>44890</v>
      </c>
      <c r="C33" t="s">
        <v>521</v>
      </c>
      <c r="D33">
        <v>11</v>
      </c>
      <c r="E33" t="s">
        <v>8</v>
      </c>
      <c r="F33" s="12" t="s">
        <v>507</v>
      </c>
    </row>
    <row r="34" spans="1:6" ht="15.75" x14ac:dyDescent="0.25">
      <c r="A34" s="12" t="s">
        <v>574</v>
      </c>
      <c r="B34" s="14">
        <v>45107</v>
      </c>
      <c r="C34" t="s">
        <v>518</v>
      </c>
      <c r="D34">
        <v>16</v>
      </c>
      <c r="E34" t="s">
        <v>8</v>
      </c>
      <c r="F34" s="12" t="s">
        <v>536</v>
      </c>
    </row>
    <row r="35" spans="1:6" ht="15.75" x14ac:dyDescent="0.25">
      <c r="A35" s="12" t="s">
        <v>574</v>
      </c>
      <c r="B35" s="14">
        <v>45107</v>
      </c>
      <c r="C35" t="s">
        <v>530</v>
      </c>
      <c r="D35">
        <v>18</v>
      </c>
      <c r="E35" t="s">
        <v>8</v>
      </c>
      <c r="F35" s="12" t="s">
        <v>538</v>
      </c>
    </row>
    <row r="36" spans="1:6" ht="15.75" x14ac:dyDescent="0.25">
      <c r="A36" s="12" t="s">
        <v>574</v>
      </c>
      <c r="B36" s="14">
        <v>45107</v>
      </c>
      <c r="C36" t="s">
        <v>539</v>
      </c>
      <c r="D36">
        <v>19</v>
      </c>
      <c r="E36" t="s">
        <v>8</v>
      </c>
      <c r="F36" s="12" t="s">
        <v>540</v>
      </c>
    </row>
    <row r="37" spans="1:6" ht="15.75" x14ac:dyDescent="0.25">
      <c r="A37" s="12" t="s">
        <v>574</v>
      </c>
      <c r="B37" s="14">
        <v>45107</v>
      </c>
      <c r="C37" t="s">
        <v>546</v>
      </c>
      <c r="D37">
        <v>22</v>
      </c>
      <c r="E37" t="s">
        <v>8</v>
      </c>
      <c r="F37" s="12" t="s">
        <v>545</v>
      </c>
    </row>
    <row r="38" spans="1:6" ht="15.75" x14ac:dyDescent="0.25">
      <c r="A38" s="12" t="s">
        <v>574</v>
      </c>
      <c r="B38" s="14">
        <v>45254</v>
      </c>
      <c r="C38" t="s">
        <v>511</v>
      </c>
      <c r="D38">
        <v>24</v>
      </c>
      <c r="E38" t="s">
        <v>8</v>
      </c>
      <c r="F38" s="12" t="s">
        <v>549</v>
      </c>
    </row>
    <row r="39" spans="1:6" ht="15.75" x14ac:dyDescent="0.25">
      <c r="A39" s="12" t="s">
        <v>574</v>
      </c>
      <c r="B39" s="14">
        <v>45254</v>
      </c>
      <c r="C39" t="s">
        <v>512</v>
      </c>
      <c r="D39">
        <v>25</v>
      </c>
      <c r="E39" t="s">
        <v>8</v>
      </c>
      <c r="F39" s="12" t="s">
        <v>550</v>
      </c>
    </row>
    <row r="40" spans="1:6" ht="15.75" x14ac:dyDescent="0.25">
      <c r="A40" s="12" t="s">
        <v>574</v>
      </c>
      <c r="B40" s="14">
        <v>45254</v>
      </c>
      <c r="C40" t="s">
        <v>530</v>
      </c>
      <c r="D40">
        <v>26</v>
      </c>
      <c r="E40" t="s">
        <v>8</v>
      </c>
      <c r="F40" s="12" t="s">
        <v>551</v>
      </c>
    </row>
    <row r="41" spans="1:6" ht="15.75" x14ac:dyDescent="0.25">
      <c r="A41" s="12" t="s">
        <v>574</v>
      </c>
      <c r="B41" s="14">
        <v>45471</v>
      </c>
      <c r="C41" t="s">
        <v>534</v>
      </c>
      <c r="D41">
        <v>38</v>
      </c>
      <c r="E41" t="s">
        <v>8</v>
      </c>
      <c r="F41" s="12" t="s">
        <v>567</v>
      </c>
    </row>
    <row r="42" spans="1:6" ht="15.75" x14ac:dyDescent="0.25">
      <c r="A42" s="12" t="s">
        <v>574</v>
      </c>
      <c r="B42" s="14">
        <v>45471</v>
      </c>
      <c r="C42" t="s">
        <v>539</v>
      </c>
      <c r="D42">
        <v>39</v>
      </c>
      <c r="E42" t="s">
        <v>8</v>
      </c>
      <c r="F42" s="12" t="s">
        <v>568</v>
      </c>
    </row>
    <row r="43" spans="1:6" ht="15.75" x14ac:dyDescent="0.25">
      <c r="A43" s="12" t="s">
        <v>574</v>
      </c>
      <c r="B43" s="14">
        <v>45471</v>
      </c>
      <c r="C43" t="s">
        <v>558</v>
      </c>
      <c r="D43">
        <v>42</v>
      </c>
      <c r="E43" t="s">
        <v>8</v>
      </c>
      <c r="F43" s="12" t="s">
        <v>571</v>
      </c>
    </row>
    <row r="44" spans="1:6" ht="15.75" x14ac:dyDescent="0.25">
      <c r="A44" s="12" t="s">
        <v>574</v>
      </c>
      <c r="B44" s="14">
        <v>45625</v>
      </c>
      <c r="C44" t="s">
        <v>528</v>
      </c>
      <c r="D44">
        <v>46</v>
      </c>
      <c r="E44" t="s">
        <v>8</v>
      </c>
      <c r="F44" s="12" t="s">
        <v>579</v>
      </c>
    </row>
    <row r="45" spans="1:6" ht="15.75" x14ac:dyDescent="0.25">
      <c r="A45" s="12" t="s">
        <v>574</v>
      </c>
      <c r="B45" s="14">
        <v>45835</v>
      </c>
      <c r="C45" t="s">
        <v>528</v>
      </c>
      <c r="D45">
        <v>53</v>
      </c>
      <c r="E45" t="s">
        <v>8</v>
      </c>
      <c r="F45" s="12" t="s">
        <v>589</v>
      </c>
    </row>
    <row r="46" spans="1:6" ht="15.75" x14ac:dyDescent="0.25">
      <c r="A46" s="12" t="s">
        <v>574</v>
      </c>
      <c r="B46" s="14">
        <v>45835</v>
      </c>
      <c r="C46" t="s">
        <v>531</v>
      </c>
      <c r="D46">
        <v>55</v>
      </c>
      <c r="E46" t="s">
        <v>8</v>
      </c>
      <c r="F46" s="12" t="s">
        <v>591</v>
      </c>
    </row>
    <row r="47" spans="1:6" ht="15.75" x14ac:dyDescent="0.25">
      <c r="A47" s="12" t="s">
        <v>574</v>
      </c>
      <c r="B47" s="14">
        <v>45835</v>
      </c>
      <c r="C47" t="s">
        <v>533</v>
      </c>
      <c r="D47">
        <v>56</v>
      </c>
      <c r="E47" t="s">
        <v>8</v>
      </c>
      <c r="F47" s="12" t="s">
        <v>592</v>
      </c>
    </row>
    <row r="48" spans="1:6" ht="15.75" x14ac:dyDescent="0.25">
      <c r="A48" s="12" t="s">
        <v>574</v>
      </c>
      <c r="B48" s="14">
        <v>45835</v>
      </c>
      <c r="C48" t="s">
        <v>535</v>
      </c>
      <c r="D48">
        <v>58</v>
      </c>
      <c r="E48" t="s">
        <v>8</v>
      </c>
      <c r="F48" s="12" t="s">
        <v>594</v>
      </c>
    </row>
    <row r="49" spans="1:6" ht="15.75" x14ac:dyDescent="0.25">
      <c r="A49" s="12" t="s">
        <v>574</v>
      </c>
      <c r="B49" s="14">
        <v>45835</v>
      </c>
      <c r="C49" t="s">
        <v>585</v>
      </c>
      <c r="D49">
        <v>59</v>
      </c>
      <c r="E49" t="s">
        <v>8</v>
      </c>
      <c r="F49" s="12" t="s">
        <v>595</v>
      </c>
    </row>
    <row r="50" spans="1:6" ht="15.75" x14ac:dyDescent="0.25">
      <c r="A50" s="12" t="s">
        <v>597</v>
      </c>
      <c r="B50" s="14">
        <v>44495</v>
      </c>
      <c r="C50" t="s">
        <v>575</v>
      </c>
      <c r="D50">
        <v>65</v>
      </c>
      <c r="E50" t="s">
        <v>8</v>
      </c>
      <c r="F50" s="12" t="s">
        <v>603</v>
      </c>
    </row>
    <row r="51" spans="1:6" ht="15.75" x14ac:dyDescent="0.25">
      <c r="A51" s="12" t="s">
        <v>597</v>
      </c>
      <c r="B51" s="14">
        <v>44495</v>
      </c>
      <c r="C51" t="s">
        <v>527</v>
      </c>
      <c r="D51">
        <v>66</v>
      </c>
      <c r="E51" t="s">
        <v>8</v>
      </c>
      <c r="F51" s="12" t="s">
        <v>604</v>
      </c>
    </row>
    <row r="52" spans="1:6" ht="15.75" x14ac:dyDescent="0.25">
      <c r="A52" s="12" t="s">
        <v>597</v>
      </c>
      <c r="B52" s="14">
        <v>44446</v>
      </c>
      <c r="C52" t="s">
        <v>584</v>
      </c>
      <c r="D52">
        <v>71</v>
      </c>
      <c r="E52" t="s">
        <v>8</v>
      </c>
      <c r="F52" s="12" t="s">
        <v>609</v>
      </c>
    </row>
    <row r="53" spans="1:6" ht="15.75" x14ac:dyDescent="0.25">
      <c r="A53" s="12" t="s">
        <v>597</v>
      </c>
      <c r="B53" s="14">
        <v>44446</v>
      </c>
      <c r="C53" t="s">
        <v>557</v>
      </c>
      <c r="D53">
        <v>72</v>
      </c>
      <c r="E53" t="s">
        <v>8</v>
      </c>
      <c r="F53" s="12" t="s">
        <v>610</v>
      </c>
    </row>
    <row r="54" spans="1:6" ht="15.75" x14ac:dyDescent="0.25">
      <c r="A54" s="12" t="s">
        <v>597</v>
      </c>
      <c r="B54" s="14">
        <v>44446</v>
      </c>
      <c r="C54" t="s">
        <v>528</v>
      </c>
      <c r="D54">
        <v>74</v>
      </c>
      <c r="E54" t="s">
        <v>8</v>
      </c>
      <c r="F54" s="12" t="s">
        <v>612</v>
      </c>
    </row>
    <row r="55" spans="1:6" ht="15.75" x14ac:dyDescent="0.25">
      <c r="A55" s="12" t="s">
        <v>597</v>
      </c>
      <c r="B55" s="14">
        <v>44446</v>
      </c>
      <c r="C55" t="s">
        <v>529</v>
      </c>
      <c r="D55">
        <v>75</v>
      </c>
      <c r="E55" t="s">
        <v>8</v>
      </c>
      <c r="F55" s="12" t="s">
        <v>613</v>
      </c>
    </row>
    <row r="56" spans="1:6" ht="15.75" x14ac:dyDescent="0.25">
      <c r="A56" s="12" t="s">
        <v>574</v>
      </c>
      <c r="B56" s="14">
        <v>44890</v>
      </c>
      <c r="C56" t="s">
        <v>513</v>
      </c>
      <c r="D56">
        <v>3</v>
      </c>
      <c r="E56" t="s">
        <v>9</v>
      </c>
      <c r="F56" s="12" t="s">
        <v>499</v>
      </c>
    </row>
    <row r="57" spans="1:6" ht="15.75" x14ac:dyDescent="0.25">
      <c r="A57" s="12" t="s">
        <v>574</v>
      </c>
      <c r="B57" s="14">
        <v>44890</v>
      </c>
      <c r="C57" t="s">
        <v>519</v>
      </c>
      <c r="D57">
        <v>9</v>
      </c>
      <c r="E57" t="s">
        <v>9</v>
      </c>
      <c r="F57" s="12" t="s">
        <v>505</v>
      </c>
    </row>
    <row r="58" spans="1:6" ht="15.75" x14ac:dyDescent="0.25">
      <c r="A58" s="12" t="s">
        <v>574</v>
      </c>
      <c r="B58" s="14">
        <v>45107</v>
      </c>
      <c r="C58" t="s">
        <v>543</v>
      </c>
      <c r="D58">
        <v>21</v>
      </c>
      <c r="E58" t="s">
        <v>9</v>
      </c>
      <c r="F58" s="12" t="s">
        <v>544</v>
      </c>
    </row>
    <row r="59" spans="1:6" ht="15.75" x14ac:dyDescent="0.25">
      <c r="A59" s="12" t="s">
        <v>574</v>
      </c>
      <c r="B59" s="14">
        <v>45471</v>
      </c>
      <c r="C59" t="s">
        <v>521</v>
      </c>
      <c r="D59">
        <v>36</v>
      </c>
      <c r="E59" t="s">
        <v>9</v>
      </c>
      <c r="F59" s="12" t="s">
        <v>565</v>
      </c>
    </row>
    <row r="60" spans="1:6" ht="15.75" x14ac:dyDescent="0.25">
      <c r="A60" s="12" t="s">
        <v>574</v>
      </c>
      <c r="B60" s="14">
        <v>45471</v>
      </c>
      <c r="C60" t="s">
        <v>541</v>
      </c>
      <c r="D60">
        <v>40</v>
      </c>
      <c r="E60" t="s">
        <v>9</v>
      </c>
      <c r="F60" s="12" t="s">
        <v>569</v>
      </c>
    </row>
    <row r="61" spans="1:6" ht="15.75" x14ac:dyDescent="0.25">
      <c r="A61" s="12" t="s">
        <v>574</v>
      </c>
      <c r="B61" s="14">
        <v>45471</v>
      </c>
      <c r="C61" t="s">
        <v>546</v>
      </c>
      <c r="D61">
        <v>41</v>
      </c>
      <c r="E61" t="s">
        <v>9</v>
      </c>
      <c r="F61" s="12" t="s">
        <v>570</v>
      </c>
    </row>
    <row r="62" spans="1:6" ht="15.75" x14ac:dyDescent="0.25">
      <c r="A62" s="12" t="s">
        <v>574</v>
      </c>
      <c r="B62" s="14">
        <v>45625</v>
      </c>
      <c r="C62" t="s">
        <v>575</v>
      </c>
      <c r="D62">
        <v>43</v>
      </c>
      <c r="E62" t="s">
        <v>9</v>
      </c>
      <c r="F62" s="12" t="s">
        <v>576</v>
      </c>
    </row>
    <row r="63" spans="1:6" ht="15.75" x14ac:dyDescent="0.25">
      <c r="A63" s="12" t="s">
        <v>574</v>
      </c>
      <c r="B63" s="14">
        <v>45625</v>
      </c>
      <c r="C63" t="s">
        <v>527</v>
      </c>
      <c r="D63">
        <v>45</v>
      </c>
      <c r="E63" t="s">
        <v>9</v>
      </c>
      <c r="F63" s="12" t="s">
        <v>578</v>
      </c>
    </row>
    <row r="64" spans="1:6" ht="15.75" x14ac:dyDescent="0.25">
      <c r="A64" s="12" t="s">
        <v>574</v>
      </c>
      <c r="B64" s="14">
        <v>45835</v>
      </c>
      <c r="C64" t="s">
        <v>530</v>
      </c>
      <c r="D64">
        <v>54</v>
      </c>
      <c r="E64" t="s">
        <v>9</v>
      </c>
      <c r="F64" s="12" t="s">
        <v>590</v>
      </c>
    </row>
    <row r="65" spans="1:6" ht="15.75" x14ac:dyDescent="0.25">
      <c r="A65" s="12" t="s">
        <v>574</v>
      </c>
      <c r="B65" s="14">
        <v>45835</v>
      </c>
      <c r="C65" t="s">
        <v>534</v>
      </c>
      <c r="D65">
        <v>57</v>
      </c>
      <c r="E65" t="s">
        <v>9</v>
      </c>
      <c r="F65" s="12" t="s">
        <v>593</v>
      </c>
    </row>
    <row r="66" spans="1:6" ht="15.75" x14ac:dyDescent="0.25">
      <c r="A66" s="12" t="s">
        <v>597</v>
      </c>
      <c r="B66" s="14">
        <v>44495</v>
      </c>
      <c r="C66" t="s">
        <v>598</v>
      </c>
      <c r="D66">
        <v>64</v>
      </c>
      <c r="E66" t="s">
        <v>9</v>
      </c>
      <c r="F66" s="12" t="s">
        <v>602</v>
      </c>
    </row>
    <row r="67" spans="1:6" ht="15.75" x14ac:dyDescent="0.25">
      <c r="A67" s="12" t="s">
        <v>574</v>
      </c>
      <c r="B67" s="14">
        <v>45254</v>
      </c>
      <c r="C67" t="s">
        <v>532</v>
      </c>
      <c r="D67">
        <v>27</v>
      </c>
      <c r="E67" t="s">
        <v>11</v>
      </c>
      <c r="F67" s="12" t="s">
        <v>553</v>
      </c>
    </row>
    <row r="68" spans="1:6" ht="15.75" x14ac:dyDescent="0.25">
      <c r="A68" s="12" t="s">
        <v>597</v>
      </c>
      <c r="B68" s="14">
        <v>45420</v>
      </c>
      <c r="C68" t="s">
        <v>575</v>
      </c>
      <c r="D68">
        <v>78</v>
      </c>
      <c r="E68" t="s">
        <v>11</v>
      </c>
      <c r="F68" s="12" t="s">
        <v>615</v>
      </c>
    </row>
    <row r="69" spans="1:6" ht="15.75" x14ac:dyDescent="0.25">
      <c r="A69" s="12" t="s">
        <v>574</v>
      </c>
      <c r="B69" s="14">
        <v>44890</v>
      </c>
      <c r="C69" t="s">
        <v>511</v>
      </c>
      <c r="D69">
        <v>1</v>
      </c>
      <c r="E69" t="s">
        <v>494</v>
      </c>
      <c r="F69" s="12" t="s">
        <v>497</v>
      </c>
    </row>
    <row r="70" spans="1:6" ht="15.75" x14ac:dyDescent="0.25">
      <c r="A70" s="12" t="s">
        <v>574</v>
      </c>
      <c r="B70" s="14">
        <v>45107</v>
      </c>
      <c r="C70" t="s">
        <v>514</v>
      </c>
      <c r="D70">
        <v>14</v>
      </c>
      <c r="E70" t="s">
        <v>494</v>
      </c>
      <c r="F70" s="12" t="s">
        <v>525</v>
      </c>
    </row>
    <row r="71" spans="1:6" ht="15.75" x14ac:dyDescent="0.25">
      <c r="A71" s="12" t="s">
        <v>574</v>
      </c>
      <c r="B71" s="14">
        <v>45107</v>
      </c>
      <c r="C71" t="s">
        <v>515</v>
      </c>
      <c r="D71">
        <v>15</v>
      </c>
      <c r="E71" t="s">
        <v>494</v>
      </c>
      <c r="F71" s="12" t="s">
        <v>526</v>
      </c>
    </row>
    <row r="72" spans="1:6" ht="15.75" x14ac:dyDescent="0.25">
      <c r="A72" s="12" t="s">
        <v>574</v>
      </c>
      <c r="B72" s="14">
        <v>45254</v>
      </c>
      <c r="C72" t="s">
        <v>552</v>
      </c>
      <c r="D72">
        <v>29</v>
      </c>
      <c r="E72" t="s">
        <v>494</v>
      </c>
      <c r="F72" s="12" t="s">
        <v>555</v>
      </c>
    </row>
    <row r="73" spans="1:6" ht="15.75" x14ac:dyDescent="0.25">
      <c r="A73" s="12" t="s">
        <v>574</v>
      </c>
      <c r="B73" s="14">
        <v>45471</v>
      </c>
      <c r="C73" t="s">
        <v>523</v>
      </c>
      <c r="D73">
        <v>30</v>
      </c>
      <c r="E73" t="s">
        <v>494</v>
      </c>
      <c r="F73" s="12" t="s">
        <v>559</v>
      </c>
    </row>
    <row r="74" spans="1:6" ht="15.75" x14ac:dyDescent="0.25">
      <c r="A74" s="12" t="s">
        <v>574</v>
      </c>
      <c r="B74" s="14">
        <v>45471</v>
      </c>
      <c r="C74" t="s">
        <v>556</v>
      </c>
      <c r="D74">
        <v>31</v>
      </c>
      <c r="E74" t="s">
        <v>494</v>
      </c>
      <c r="F74" s="12" t="s">
        <v>560</v>
      </c>
    </row>
    <row r="75" spans="1:6" ht="15.75" x14ac:dyDescent="0.25">
      <c r="A75" s="12" t="s">
        <v>574</v>
      </c>
      <c r="B75" s="14">
        <v>45471</v>
      </c>
      <c r="C75" t="s">
        <v>511</v>
      </c>
      <c r="D75">
        <v>32</v>
      </c>
      <c r="E75" t="s">
        <v>494</v>
      </c>
      <c r="F75" s="12" t="s">
        <v>561</v>
      </c>
    </row>
    <row r="76" spans="1:6" ht="15.75" x14ac:dyDescent="0.25">
      <c r="A76" s="12" t="s">
        <v>574</v>
      </c>
      <c r="B76" s="14">
        <v>45471</v>
      </c>
      <c r="C76" t="s">
        <v>512</v>
      </c>
      <c r="D76">
        <v>33</v>
      </c>
      <c r="E76" t="s">
        <v>494</v>
      </c>
      <c r="F76" s="12" t="s">
        <v>562</v>
      </c>
    </row>
    <row r="77" spans="1:6" ht="15.75" x14ac:dyDescent="0.25">
      <c r="A77" s="12" t="s">
        <v>574</v>
      </c>
      <c r="B77" s="14">
        <v>45625</v>
      </c>
      <c r="C77" t="s">
        <v>529</v>
      </c>
      <c r="D77">
        <v>47</v>
      </c>
      <c r="E77" t="s">
        <v>494</v>
      </c>
      <c r="F77" s="12" t="s">
        <v>580</v>
      </c>
    </row>
    <row r="78" spans="1:6" ht="15.75" x14ac:dyDescent="0.25">
      <c r="A78" s="12" t="s">
        <v>574</v>
      </c>
      <c r="B78" s="14">
        <v>45625</v>
      </c>
      <c r="C78" t="s">
        <v>530</v>
      </c>
      <c r="D78">
        <v>48</v>
      </c>
      <c r="E78" t="s">
        <v>494</v>
      </c>
      <c r="F78" s="12" t="s">
        <v>581</v>
      </c>
    </row>
    <row r="79" spans="1:6" ht="15.75" x14ac:dyDescent="0.25">
      <c r="A79" s="12" t="s">
        <v>574</v>
      </c>
      <c r="B79" s="14">
        <v>45625</v>
      </c>
      <c r="C79" t="s">
        <v>532</v>
      </c>
      <c r="D79">
        <v>49</v>
      </c>
      <c r="E79" t="s">
        <v>494</v>
      </c>
      <c r="F79" s="12" t="s">
        <v>582</v>
      </c>
    </row>
    <row r="80" spans="1:6" ht="15.75" x14ac:dyDescent="0.25">
      <c r="A80" s="12" t="s">
        <v>574</v>
      </c>
      <c r="B80" s="14">
        <v>45835</v>
      </c>
      <c r="C80" t="s">
        <v>583</v>
      </c>
      <c r="D80">
        <v>50</v>
      </c>
      <c r="E80" t="s">
        <v>494</v>
      </c>
      <c r="F80" s="12" t="s">
        <v>586</v>
      </c>
    </row>
    <row r="81" spans="1:6" ht="15.75" x14ac:dyDescent="0.25">
      <c r="A81" s="12" t="s">
        <v>574</v>
      </c>
      <c r="B81" s="14">
        <v>45835</v>
      </c>
      <c r="C81" t="s">
        <v>584</v>
      </c>
      <c r="D81">
        <v>51</v>
      </c>
      <c r="E81" t="s">
        <v>494</v>
      </c>
      <c r="F81" s="12" t="s">
        <v>588</v>
      </c>
    </row>
  </sheetData>
  <autoFilter ref="A1:F81" xr:uid="{CD27035E-5842-4471-96A6-511EDFCBEE5C}">
    <sortState xmlns:xlrd2="http://schemas.microsoft.com/office/spreadsheetml/2017/richdata2" ref="A2:F81">
      <sortCondition ref="E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4924-8C69-4423-9FEE-6B0B89E78955}">
  <dimension ref="A3:B11"/>
  <sheetViews>
    <sheetView workbookViewId="0">
      <selection activeCell="B9" sqref="B9"/>
    </sheetView>
  </sheetViews>
  <sheetFormatPr baseColWidth="10" defaultRowHeight="15" x14ac:dyDescent="0.25"/>
  <cols>
    <col min="1" max="1" width="17.5703125" bestFit="1" customWidth="1"/>
    <col min="2" max="2" width="28" bestFit="1" customWidth="1"/>
  </cols>
  <sheetData>
    <row r="3" spans="1:2" x14ac:dyDescent="0.25">
      <c r="A3" s="15" t="s">
        <v>619</v>
      </c>
      <c r="B3" t="s">
        <v>618</v>
      </c>
    </row>
    <row r="4" spans="1:2" x14ac:dyDescent="0.25">
      <c r="A4" s="16" t="s">
        <v>4</v>
      </c>
      <c r="B4">
        <v>11</v>
      </c>
    </row>
    <row r="5" spans="1:2" x14ac:dyDescent="0.25">
      <c r="A5" s="16" t="s">
        <v>13</v>
      </c>
      <c r="B5">
        <v>5</v>
      </c>
    </row>
    <row r="6" spans="1:2" x14ac:dyDescent="0.25">
      <c r="A6" s="16" t="s">
        <v>7</v>
      </c>
      <c r="B6">
        <v>12</v>
      </c>
    </row>
    <row r="7" spans="1:2" x14ac:dyDescent="0.25">
      <c r="A7" s="16" t="s">
        <v>8</v>
      </c>
      <c r="B7">
        <v>26</v>
      </c>
    </row>
    <row r="8" spans="1:2" x14ac:dyDescent="0.25">
      <c r="A8" s="16" t="s">
        <v>9</v>
      </c>
      <c r="B8">
        <v>11</v>
      </c>
    </row>
    <row r="9" spans="1:2" x14ac:dyDescent="0.25">
      <c r="A9" s="16" t="s">
        <v>11</v>
      </c>
      <c r="B9">
        <v>2</v>
      </c>
    </row>
    <row r="10" spans="1:2" x14ac:dyDescent="0.25">
      <c r="A10" s="16" t="s">
        <v>494</v>
      </c>
      <c r="B10">
        <v>13</v>
      </c>
    </row>
    <row r="11" spans="1:2" x14ac:dyDescent="0.25">
      <c r="A11" s="16" t="s">
        <v>620</v>
      </c>
      <c r="B11">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BBC2-F56C-4388-8A4E-7CCA7938065D}">
  <dimension ref="A1:S51"/>
  <sheetViews>
    <sheetView workbookViewId="0">
      <selection activeCell="C3" sqref="C3:C26"/>
    </sheetView>
  </sheetViews>
  <sheetFormatPr baseColWidth="10" defaultRowHeight="15" x14ac:dyDescent="0.25"/>
  <cols>
    <col min="4" max="4" width="24.140625" customWidth="1"/>
    <col min="5" max="5" width="50.140625" bestFit="1" customWidth="1"/>
    <col min="6" max="6" width="34.7109375" bestFit="1" customWidth="1"/>
    <col min="8" max="8" width="38.28515625" bestFit="1" customWidth="1"/>
    <col min="9" max="9" width="84.140625" bestFit="1" customWidth="1"/>
    <col min="15" max="15" width="80.5703125" bestFit="1" customWidth="1"/>
    <col min="16" max="16" width="56.28515625" bestFit="1" customWidth="1"/>
    <col min="17" max="17" width="18.5703125" bestFit="1" customWidth="1"/>
    <col min="18" max="18" width="62" bestFit="1" customWidth="1"/>
    <col min="19" max="19" width="71.7109375" bestFit="1" customWidth="1"/>
  </cols>
  <sheetData>
    <row r="1" spans="1:19" x14ac:dyDescent="0.25">
      <c r="A1" s="8" t="s">
        <v>87</v>
      </c>
      <c r="B1" s="8" t="s">
        <v>88</v>
      </c>
      <c r="C1" s="8" t="s">
        <v>61</v>
      </c>
      <c r="D1" s="8" t="s">
        <v>62</v>
      </c>
      <c r="E1" s="8" t="s">
        <v>89</v>
      </c>
      <c r="F1" s="8" t="s">
        <v>90</v>
      </c>
      <c r="G1" s="8" t="s">
        <v>91</v>
      </c>
      <c r="H1" s="8" t="s">
        <v>92</v>
      </c>
      <c r="I1" s="8" t="s">
        <v>93</v>
      </c>
      <c r="J1" s="8" t="s">
        <v>94</v>
      </c>
      <c r="K1" s="8" t="s">
        <v>95</v>
      </c>
      <c r="L1" s="8" t="s">
        <v>96</v>
      </c>
      <c r="M1" s="8" t="s">
        <v>97</v>
      </c>
      <c r="N1" s="8" t="s">
        <v>98</v>
      </c>
      <c r="O1" s="8" t="s">
        <v>99</v>
      </c>
      <c r="P1" s="8" t="s">
        <v>100</v>
      </c>
      <c r="Q1" s="8" t="s">
        <v>101</v>
      </c>
      <c r="R1" s="8" t="s">
        <v>102</v>
      </c>
      <c r="S1" s="8" t="s">
        <v>68</v>
      </c>
    </row>
    <row r="2" spans="1:19" x14ac:dyDescent="0.25">
      <c r="A2" t="s">
        <v>149</v>
      </c>
      <c r="B2" t="s">
        <v>104</v>
      </c>
      <c r="C2" t="s">
        <v>483</v>
      </c>
      <c r="D2" t="s">
        <v>19</v>
      </c>
      <c r="E2" t="s">
        <v>150</v>
      </c>
      <c r="F2" t="s">
        <v>49</v>
      </c>
      <c r="G2" t="s">
        <v>51</v>
      </c>
      <c r="H2" t="s">
        <v>119</v>
      </c>
      <c r="I2" t="s">
        <v>151</v>
      </c>
      <c r="J2" t="s">
        <v>152</v>
      </c>
      <c r="K2" t="s">
        <v>153</v>
      </c>
      <c r="L2" t="s">
        <v>154</v>
      </c>
      <c r="M2" t="s">
        <v>155</v>
      </c>
      <c r="N2" t="s">
        <v>78</v>
      </c>
      <c r="O2" t="s">
        <v>156</v>
      </c>
      <c r="P2" t="s">
        <v>157</v>
      </c>
      <c r="Q2">
        <v>25</v>
      </c>
      <c r="R2" t="s">
        <v>115</v>
      </c>
      <c r="S2" t="s">
        <v>133</v>
      </c>
    </row>
    <row r="3" spans="1:19" x14ac:dyDescent="0.25">
      <c r="A3" t="s">
        <v>103</v>
      </c>
      <c r="B3" t="s">
        <v>104</v>
      </c>
      <c r="C3" t="s">
        <v>484</v>
      </c>
      <c r="D3" t="s">
        <v>55</v>
      </c>
      <c r="E3" t="s">
        <v>105</v>
      </c>
      <c r="F3" t="s">
        <v>50</v>
      </c>
      <c r="G3" t="s">
        <v>52</v>
      </c>
      <c r="H3" t="s">
        <v>106</v>
      </c>
      <c r="I3" t="s">
        <v>107</v>
      </c>
      <c r="J3" t="s">
        <v>108</v>
      </c>
      <c r="K3" t="s">
        <v>109</v>
      </c>
      <c r="L3" t="s">
        <v>110</v>
      </c>
      <c r="M3" t="s">
        <v>111</v>
      </c>
      <c r="N3" t="s">
        <v>112</v>
      </c>
      <c r="O3" t="s">
        <v>113</v>
      </c>
      <c r="P3" t="s">
        <v>114</v>
      </c>
      <c r="Q3">
        <v>60</v>
      </c>
      <c r="R3" t="s">
        <v>115</v>
      </c>
      <c r="S3" t="s">
        <v>116</v>
      </c>
    </row>
    <row r="4" spans="1:19" x14ac:dyDescent="0.25">
      <c r="A4" t="s">
        <v>117</v>
      </c>
      <c r="B4" t="s">
        <v>104</v>
      </c>
      <c r="C4" t="s">
        <v>484</v>
      </c>
      <c r="D4" t="s">
        <v>55</v>
      </c>
      <c r="E4" t="s">
        <v>118</v>
      </c>
      <c r="F4" t="s">
        <v>49</v>
      </c>
      <c r="G4" t="s">
        <v>51</v>
      </c>
      <c r="H4" t="s">
        <v>119</v>
      </c>
      <c r="I4" t="s">
        <v>120</v>
      </c>
      <c r="J4" t="b">
        <v>1</v>
      </c>
      <c r="K4" t="b">
        <v>0</v>
      </c>
      <c r="N4" t="s">
        <v>77</v>
      </c>
      <c r="O4" t="s">
        <v>121</v>
      </c>
      <c r="P4" t="s">
        <v>122</v>
      </c>
      <c r="Q4">
        <v>25</v>
      </c>
      <c r="R4" t="s">
        <v>115</v>
      </c>
      <c r="S4" t="s">
        <v>123</v>
      </c>
    </row>
    <row r="5" spans="1:19" x14ac:dyDescent="0.25">
      <c r="A5" t="s">
        <v>124</v>
      </c>
      <c r="B5" t="s">
        <v>104</v>
      </c>
      <c r="C5" t="s">
        <v>484</v>
      </c>
      <c r="D5" t="s">
        <v>55</v>
      </c>
      <c r="E5" t="s">
        <v>125</v>
      </c>
      <c r="F5" t="s">
        <v>49</v>
      </c>
      <c r="G5" t="s">
        <v>51</v>
      </c>
      <c r="H5" t="s">
        <v>119</v>
      </c>
      <c r="I5" t="s">
        <v>126</v>
      </c>
      <c r="J5" t="s">
        <v>127</v>
      </c>
      <c r="K5" t="s">
        <v>128</v>
      </c>
      <c r="L5" t="s">
        <v>129</v>
      </c>
      <c r="M5" t="s">
        <v>130</v>
      </c>
      <c r="N5" t="s">
        <v>77</v>
      </c>
      <c r="O5" t="s">
        <v>131</v>
      </c>
      <c r="P5" t="s">
        <v>132</v>
      </c>
      <c r="Q5">
        <v>30</v>
      </c>
      <c r="R5" t="s">
        <v>115</v>
      </c>
      <c r="S5" t="s">
        <v>133</v>
      </c>
    </row>
    <row r="6" spans="1:19" x14ac:dyDescent="0.25">
      <c r="A6" t="s">
        <v>134</v>
      </c>
      <c r="B6" t="s">
        <v>104</v>
      </c>
      <c r="C6" t="s">
        <v>484</v>
      </c>
      <c r="D6" t="s">
        <v>55</v>
      </c>
      <c r="E6" t="s">
        <v>135</v>
      </c>
      <c r="F6" t="s">
        <v>50</v>
      </c>
      <c r="G6" t="s">
        <v>52</v>
      </c>
      <c r="H6" t="s">
        <v>119</v>
      </c>
      <c r="I6" t="s">
        <v>136</v>
      </c>
      <c r="J6" t="s">
        <v>137</v>
      </c>
      <c r="K6" t="s">
        <v>138</v>
      </c>
      <c r="L6" t="s">
        <v>139</v>
      </c>
      <c r="M6" t="s">
        <v>140</v>
      </c>
      <c r="N6" t="s">
        <v>79</v>
      </c>
      <c r="O6" t="s">
        <v>141</v>
      </c>
      <c r="P6" t="s">
        <v>142</v>
      </c>
      <c r="Q6">
        <v>35</v>
      </c>
      <c r="R6" t="s">
        <v>115</v>
      </c>
      <c r="S6" t="s">
        <v>133</v>
      </c>
    </row>
    <row r="7" spans="1:19" x14ac:dyDescent="0.25">
      <c r="A7" t="s">
        <v>143</v>
      </c>
      <c r="B7" t="s">
        <v>104</v>
      </c>
      <c r="C7" t="s">
        <v>484</v>
      </c>
      <c r="D7" t="s">
        <v>55</v>
      </c>
      <c r="E7" t="s">
        <v>144</v>
      </c>
      <c r="F7" t="s">
        <v>49</v>
      </c>
      <c r="G7" t="s">
        <v>51</v>
      </c>
      <c r="H7" t="s">
        <v>119</v>
      </c>
      <c r="I7" t="s">
        <v>145</v>
      </c>
      <c r="J7" t="b">
        <v>1</v>
      </c>
      <c r="K7" t="b">
        <v>0</v>
      </c>
      <c r="N7" t="s">
        <v>77</v>
      </c>
      <c r="O7" t="s">
        <v>146</v>
      </c>
      <c r="P7" t="s">
        <v>147</v>
      </c>
      <c r="Q7">
        <v>25</v>
      </c>
      <c r="R7" t="s">
        <v>115</v>
      </c>
      <c r="S7" t="s">
        <v>148</v>
      </c>
    </row>
    <row r="8" spans="1:19" x14ac:dyDescent="0.25">
      <c r="A8" t="s">
        <v>158</v>
      </c>
      <c r="B8" t="s">
        <v>104</v>
      </c>
      <c r="C8" t="s">
        <v>484</v>
      </c>
      <c r="D8" t="s">
        <v>55</v>
      </c>
      <c r="E8" t="s">
        <v>159</v>
      </c>
      <c r="F8" t="s">
        <v>50</v>
      </c>
      <c r="G8" t="s">
        <v>52</v>
      </c>
      <c r="H8" t="s">
        <v>106</v>
      </c>
      <c r="I8" t="s">
        <v>160</v>
      </c>
      <c r="J8" t="s">
        <v>161</v>
      </c>
      <c r="K8" t="s">
        <v>162</v>
      </c>
      <c r="L8" t="s">
        <v>163</v>
      </c>
      <c r="N8" t="s">
        <v>164</v>
      </c>
      <c r="O8" t="s">
        <v>165</v>
      </c>
      <c r="P8" t="s">
        <v>166</v>
      </c>
      <c r="Q8">
        <v>50</v>
      </c>
      <c r="R8" t="s">
        <v>115</v>
      </c>
      <c r="S8" t="s">
        <v>167</v>
      </c>
    </row>
    <row r="9" spans="1:19" x14ac:dyDescent="0.25">
      <c r="A9" t="s">
        <v>177</v>
      </c>
      <c r="B9" t="s">
        <v>104</v>
      </c>
      <c r="C9" t="s">
        <v>484</v>
      </c>
      <c r="D9" t="s">
        <v>55</v>
      </c>
      <c r="E9" t="s">
        <v>178</v>
      </c>
      <c r="F9" t="s">
        <v>49</v>
      </c>
      <c r="G9" t="s">
        <v>51</v>
      </c>
      <c r="H9" t="s">
        <v>119</v>
      </c>
      <c r="I9" t="s">
        <v>179</v>
      </c>
      <c r="J9" t="b">
        <v>1</v>
      </c>
      <c r="K9" t="b">
        <v>0</v>
      </c>
      <c r="N9" t="s">
        <v>77</v>
      </c>
      <c r="O9" t="s">
        <v>180</v>
      </c>
      <c r="P9" t="s">
        <v>181</v>
      </c>
      <c r="Q9">
        <v>25</v>
      </c>
      <c r="R9" t="s">
        <v>115</v>
      </c>
      <c r="S9" t="s">
        <v>148</v>
      </c>
    </row>
    <row r="10" spans="1:19" x14ac:dyDescent="0.25">
      <c r="A10" t="s">
        <v>182</v>
      </c>
      <c r="B10" t="s">
        <v>104</v>
      </c>
      <c r="C10" t="s">
        <v>484</v>
      </c>
      <c r="D10" t="s">
        <v>55</v>
      </c>
      <c r="E10" t="s">
        <v>183</v>
      </c>
      <c r="F10" t="s">
        <v>50</v>
      </c>
      <c r="G10" t="s">
        <v>52</v>
      </c>
      <c r="H10" t="s">
        <v>119</v>
      </c>
      <c r="I10" t="s">
        <v>184</v>
      </c>
      <c r="J10" t="s">
        <v>185</v>
      </c>
      <c r="K10" t="s">
        <v>186</v>
      </c>
      <c r="L10" t="s">
        <v>187</v>
      </c>
      <c r="M10" t="s">
        <v>188</v>
      </c>
      <c r="N10" t="s">
        <v>77</v>
      </c>
      <c r="O10" t="s">
        <v>189</v>
      </c>
      <c r="P10" t="s">
        <v>190</v>
      </c>
      <c r="Q10">
        <v>35</v>
      </c>
      <c r="R10" t="s">
        <v>115</v>
      </c>
      <c r="S10" t="s">
        <v>133</v>
      </c>
    </row>
    <row r="11" spans="1:19" x14ac:dyDescent="0.25">
      <c r="A11" t="s">
        <v>191</v>
      </c>
      <c r="B11" t="s">
        <v>104</v>
      </c>
      <c r="C11" t="s">
        <v>484</v>
      </c>
      <c r="D11" t="s">
        <v>55</v>
      </c>
      <c r="E11" t="s">
        <v>192</v>
      </c>
      <c r="F11" t="s">
        <v>50</v>
      </c>
      <c r="G11" t="s">
        <v>52</v>
      </c>
      <c r="H11" t="s">
        <v>119</v>
      </c>
      <c r="I11" t="s">
        <v>193</v>
      </c>
      <c r="J11" t="s">
        <v>194</v>
      </c>
      <c r="K11" t="s">
        <v>195</v>
      </c>
      <c r="L11" t="s">
        <v>196</v>
      </c>
      <c r="M11" t="s">
        <v>197</v>
      </c>
      <c r="N11" t="s">
        <v>77</v>
      </c>
      <c r="O11" t="s">
        <v>198</v>
      </c>
      <c r="P11" t="s">
        <v>199</v>
      </c>
      <c r="Q11">
        <v>35</v>
      </c>
      <c r="R11" t="s">
        <v>115</v>
      </c>
      <c r="S11" t="s">
        <v>133</v>
      </c>
    </row>
    <row r="12" spans="1:19" x14ac:dyDescent="0.25">
      <c r="A12" t="s">
        <v>214</v>
      </c>
      <c r="B12" t="s">
        <v>104</v>
      </c>
      <c r="C12" t="s">
        <v>484</v>
      </c>
      <c r="D12" t="s">
        <v>55</v>
      </c>
      <c r="E12" t="s">
        <v>215</v>
      </c>
      <c r="F12" t="s">
        <v>49</v>
      </c>
      <c r="G12" t="s">
        <v>51</v>
      </c>
      <c r="H12" t="s">
        <v>119</v>
      </c>
      <c r="I12" t="s">
        <v>216</v>
      </c>
      <c r="J12" t="s">
        <v>217</v>
      </c>
      <c r="K12" t="s">
        <v>218</v>
      </c>
      <c r="L12" t="s">
        <v>219</v>
      </c>
      <c r="M12" t="s">
        <v>220</v>
      </c>
      <c r="N12" t="s">
        <v>77</v>
      </c>
      <c r="O12" t="s">
        <v>221</v>
      </c>
      <c r="P12" t="s">
        <v>222</v>
      </c>
      <c r="Q12">
        <v>30</v>
      </c>
      <c r="R12" t="s">
        <v>115</v>
      </c>
      <c r="S12" t="s">
        <v>133</v>
      </c>
    </row>
    <row r="13" spans="1:19" x14ac:dyDescent="0.25">
      <c r="A13" t="s">
        <v>223</v>
      </c>
      <c r="B13" t="s">
        <v>104</v>
      </c>
      <c r="C13" t="s">
        <v>484</v>
      </c>
      <c r="D13" t="s">
        <v>55</v>
      </c>
      <c r="E13" t="s">
        <v>224</v>
      </c>
      <c r="F13" t="s">
        <v>50</v>
      </c>
      <c r="G13" t="s">
        <v>52</v>
      </c>
      <c r="H13" t="s">
        <v>119</v>
      </c>
      <c r="I13" t="s">
        <v>225</v>
      </c>
      <c r="J13" t="s">
        <v>226</v>
      </c>
      <c r="K13" t="s">
        <v>227</v>
      </c>
      <c r="L13" t="s">
        <v>228</v>
      </c>
      <c r="M13" t="s">
        <v>229</v>
      </c>
      <c r="N13" t="s">
        <v>77</v>
      </c>
      <c r="O13" t="s">
        <v>230</v>
      </c>
      <c r="P13" t="s">
        <v>231</v>
      </c>
      <c r="Q13">
        <v>35</v>
      </c>
      <c r="R13" t="s">
        <v>115</v>
      </c>
      <c r="S13" t="s">
        <v>133</v>
      </c>
    </row>
    <row r="14" spans="1:19" x14ac:dyDescent="0.25">
      <c r="A14" t="s">
        <v>241</v>
      </c>
      <c r="B14" t="s">
        <v>104</v>
      </c>
      <c r="C14" t="s">
        <v>484</v>
      </c>
      <c r="D14" t="s">
        <v>55</v>
      </c>
      <c r="E14" t="s">
        <v>242</v>
      </c>
      <c r="F14" t="s">
        <v>49</v>
      </c>
      <c r="G14" t="s">
        <v>51</v>
      </c>
      <c r="H14" t="s">
        <v>119</v>
      </c>
      <c r="I14" t="s">
        <v>243</v>
      </c>
      <c r="J14" t="b">
        <v>1</v>
      </c>
      <c r="K14" t="b">
        <v>0</v>
      </c>
      <c r="N14" t="s">
        <v>77</v>
      </c>
      <c r="O14" t="s">
        <v>244</v>
      </c>
      <c r="P14" t="s">
        <v>245</v>
      </c>
      <c r="Q14">
        <v>25</v>
      </c>
      <c r="R14" t="s">
        <v>115</v>
      </c>
      <c r="S14" t="s">
        <v>148</v>
      </c>
    </row>
    <row r="15" spans="1:19" x14ac:dyDescent="0.25">
      <c r="A15" t="s">
        <v>246</v>
      </c>
      <c r="B15" t="s">
        <v>104</v>
      </c>
      <c r="C15" t="s">
        <v>484</v>
      </c>
      <c r="D15" t="s">
        <v>55</v>
      </c>
      <c r="E15" t="s">
        <v>247</v>
      </c>
      <c r="F15" t="s">
        <v>49</v>
      </c>
      <c r="G15" t="s">
        <v>52</v>
      </c>
      <c r="H15" t="s">
        <v>119</v>
      </c>
      <c r="I15" t="s">
        <v>248</v>
      </c>
      <c r="J15" t="s">
        <v>249</v>
      </c>
      <c r="K15" t="s">
        <v>250</v>
      </c>
      <c r="L15" t="s">
        <v>251</v>
      </c>
      <c r="M15" t="s">
        <v>252</v>
      </c>
      <c r="N15" t="s">
        <v>253</v>
      </c>
      <c r="O15" t="s">
        <v>254</v>
      </c>
      <c r="P15" t="s">
        <v>255</v>
      </c>
      <c r="Q15">
        <v>30</v>
      </c>
      <c r="R15" t="s">
        <v>115</v>
      </c>
      <c r="S15" t="s">
        <v>133</v>
      </c>
    </row>
    <row r="16" spans="1:19" x14ac:dyDescent="0.25">
      <c r="A16" t="s">
        <v>256</v>
      </c>
      <c r="B16" t="s">
        <v>104</v>
      </c>
      <c r="C16" t="s">
        <v>484</v>
      </c>
      <c r="D16" t="s">
        <v>55</v>
      </c>
      <c r="E16" t="s">
        <v>257</v>
      </c>
      <c r="F16" t="s">
        <v>50</v>
      </c>
      <c r="G16" t="s">
        <v>51</v>
      </c>
      <c r="H16" t="s">
        <v>119</v>
      </c>
      <c r="I16" t="s">
        <v>258</v>
      </c>
      <c r="J16" t="s">
        <v>259</v>
      </c>
      <c r="K16" t="s">
        <v>260</v>
      </c>
      <c r="L16" t="s">
        <v>261</v>
      </c>
      <c r="M16" t="s">
        <v>262</v>
      </c>
      <c r="N16" t="s">
        <v>78</v>
      </c>
      <c r="O16" t="s">
        <v>263</v>
      </c>
      <c r="P16" t="s">
        <v>264</v>
      </c>
      <c r="Q16">
        <v>30</v>
      </c>
      <c r="R16" t="s">
        <v>115</v>
      </c>
      <c r="S16" t="s">
        <v>133</v>
      </c>
    </row>
    <row r="17" spans="1:19" x14ac:dyDescent="0.25">
      <c r="A17" t="s">
        <v>279</v>
      </c>
      <c r="B17" t="s">
        <v>104</v>
      </c>
      <c r="C17" t="s">
        <v>484</v>
      </c>
      <c r="D17" t="s">
        <v>55</v>
      </c>
      <c r="E17" t="s">
        <v>280</v>
      </c>
      <c r="F17" t="s">
        <v>50</v>
      </c>
      <c r="G17" t="s">
        <v>52</v>
      </c>
      <c r="H17" t="s">
        <v>119</v>
      </c>
      <c r="I17" t="s">
        <v>281</v>
      </c>
      <c r="J17" t="s">
        <v>282</v>
      </c>
      <c r="K17" t="s">
        <v>283</v>
      </c>
      <c r="L17" t="s">
        <v>284</v>
      </c>
      <c r="M17" t="s">
        <v>285</v>
      </c>
      <c r="N17" t="s">
        <v>78</v>
      </c>
      <c r="O17" t="s">
        <v>286</v>
      </c>
      <c r="P17" t="s">
        <v>287</v>
      </c>
      <c r="Q17">
        <v>35</v>
      </c>
      <c r="R17" t="s">
        <v>115</v>
      </c>
      <c r="S17" t="s">
        <v>133</v>
      </c>
    </row>
    <row r="18" spans="1:19" x14ac:dyDescent="0.25">
      <c r="A18" t="s">
        <v>288</v>
      </c>
      <c r="B18" t="s">
        <v>104</v>
      </c>
      <c r="C18" t="s">
        <v>484</v>
      </c>
      <c r="D18" t="s">
        <v>55</v>
      </c>
      <c r="E18" t="s">
        <v>289</v>
      </c>
      <c r="F18" t="s">
        <v>50</v>
      </c>
      <c r="G18" t="s">
        <v>52</v>
      </c>
      <c r="H18" t="s">
        <v>119</v>
      </c>
      <c r="I18" t="s">
        <v>290</v>
      </c>
      <c r="J18" t="s">
        <v>291</v>
      </c>
      <c r="K18" t="s">
        <v>292</v>
      </c>
      <c r="L18" t="s">
        <v>293</v>
      </c>
      <c r="M18" t="s">
        <v>294</v>
      </c>
      <c r="N18" t="s">
        <v>78</v>
      </c>
      <c r="O18" t="s">
        <v>295</v>
      </c>
      <c r="P18" t="s">
        <v>296</v>
      </c>
      <c r="Q18">
        <v>30</v>
      </c>
      <c r="R18" t="s">
        <v>115</v>
      </c>
      <c r="S18" t="s">
        <v>133</v>
      </c>
    </row>
    <row r="19" spans="1:19" x14ac:dyDescent="0.25">
      <c r="A19" t="s">
        <v>306</v>
      </c>
      <c r="B19" t="s">
        <v>104</v>
      </c>
      <c r="C19" t="s">
        <v>484</v>
      </c>
      <c r="D19" t="s">
        <v>55</v>
      </c>
      <c r="E19" t="s">
        <v>307</v>
      </c>
      <c r="F19" t="s">
        <v>49</v>
      </c>
      <c r="G19" t="s">
        <v>51</v>
      </c>
      <c r="H19" t="s">
        <v>119</v>
      </c>
      <c r="I19" t="s">
        <v>308</v>
      </c>
      <c r="J19" t="b">
        <v>1</v>
      </c>
      <c r="K19" t="b">
        <v>0</v>
      </c>
      <c r="N19" t="s">
        <v>77</v>
      </c>
      <c r="O19" t="s">
        <v>309</v>
      </c>
      <c r="P19" t="s">
        <v>310</v>
      </c>
      <c r="Q19">
        <v>25</v>
      </c>
      <c r="R19" t="s">
        <v>115</v>
      </c>
      <c r="S19" t="s">
        <v>148</v>
      </c>
    </row>
    <row r="20" spans="1:19" x14ac:dyDescent="0.25">
      <c r="A20" t="s">
        <v>320</v>
      </c>
      <c r="B20" t="s">
        <v>104</v>
      </c>
      <c r="C20" t="s">
        <v>484</v>
      </c>
      <c r="D20" t="s">
        <v>55</v>
      </c>
      <c r="E20" t="s">
        <v>321</v>
      </c>
      <c r="F20" t="s">
        <v>49</v>
      </c>
      <c r="G20" t="s">
        <v>51</v>
      </c>
      <c r="H20" t="s">
        <v>119</v>
      </c>
      <c r="I20" t="s">
        <v>322</v>
      </c>
      <c r="J20" t="b">
        <v>1</v>
      </c>
      <c r="K20" t="b">
        <v>0</v>
      </c>
      <c r="N20" t="s">
        <v>78</v>
      </c>
      <c r="O20" t="s">
        <v>323</v>
      </c>
      <c r="P20" t="s">
        <v>324</v>
      </c>
      <c r="Q20">
        <v>25</v>
      </c>
      <c r="R20" t="s">
        <v>115</v>
      </c>
      <c r="S20" t="s">
        <v>148</v>
      </c>
    </row>
    <row r="21" spans="1:19" x14ac:dyDescent="0.25">
      <c r="A21" t="s">
        <v>325</v>
      </c>
      <c r="B21" t="s">
        <v>104</v>
      </c>
      <c r="C21" t="s">
        <v>484</v>
      </c>
      <c r="D21" t="s">
        <v>55</v>
      </c>
      <c r="E21" t="s">
        <v>326</v>
      </c>
      <c r="F21" t="s">
        <v>50</v>
      </c>
      <c r="G21" t="s">
        <v>52</v>
      </c>
      <c r="H21" t="s">
        <v>119</v>
      </c>
      <c r="I21" t="s">
        <v>327</v>
      </c>
      <c r="J21" t="s">
        <v>328</v>
      </c>
      <c r="K21" t="s">
        <v>329</v>
      </c>
      <c r="L21" t="s">
        <v>330</v>
      </c>
      <c r="N21" t="s">
        <v>77</v>
      </c>
      <c r="O21" t="s">
        <v>331</v>
      </c>
      <c r="P21" t="s">
        <v>332</v>
      </c>
      <c r="Q21">
        <v>30</v>
      </c>
      <c r="R21" t="s">
        <v>115</v>
      </c>
      <c r="S21" t="s">
        <v>133</v>
      </c>
    </row>
    <row r="22" spans="1:19" x14ac:dyDescent="0.25">
      <c r="A22" t="s">
        <v>349</v>
      </c>
      <c r="B22" t="s">
        <v>104</v>
      </c>
      <c r="C22" t="s">
        <v>484</v>
      </c>
      <c r="D22" t="s">
        <v>55</v>
      </c>
      <c r="E22" t="s">
        <v>350</v>
      </c>
      <c r="F22" t="s">
        <v>49</v>
      </c>
      <c r="G22" t="s">
        <v>51</v>
      </c>
      <c r="H22" t="s">
        <v>119</v>
      </c>
      <c r="I22" t="s">
        <v>351</v>
      </c>
      <c r="J22" t="s">
        <v>352</v>
      </c>
      <c r="K22" t="s">
        <v>353</v>
      </c>
      <c r="L22" t="s">
        <v>354</v>
      </c>
      <c r="N22" t="s">
        <v>79</v>
      </c>
      <c r="O22" t="s">
        <v>355</v>
      </c>
      <c r="P22" t="s">
        <v>356</v>
      </c>
      <c r="Q22">
        <v>30</v>
      </c>
      <c r="R22" t="s">
        <v>115</v>
      </c>
      <c r="S22" t="s">
        <v>133</v>
      </c>
    </row>
    <row r="23" spans="1:19" x14ac:dyDescent="0.25">
      <c r="A23" t="s">
        <v>357</v>
      </c>
      <c r="B23" t="s">
        <v>104</v>
      </c>
      <c r="C23" t="s">
        <v>484</v>
      </c>
      <c r="D23" t="s">
        <v>55</v>
      </c>
      <c r="E23" t="s">
        <v>358</v>
      </c>
      <c r="F23" t="s">
        <v>49</v>
      </c>
      <c r="G23" t="s">
        <v>51</v>
      </c>
      <c r="H23" t="s">
        <v>119</v>
      </c>
      <c r="I23" t="s">
        <v>359</v>
      </c>
      <c r="J23" t="b">
        <v>1</v>
      </c>
      <c r="K23" t="b">
        <v>0</v>
      </c>
      <c r="N23" t="s">
        <v>78</v>
      </c>
      <c r="O23" t="s">
        <v>360</v>
      </c>
      <c r="P23" t="s">
        <v>361</v>
      </c>
      <c r="Q23">
        <v>20</v>
      </c>
      <c r="R23" t="s">
        <v>115</v>
      </c>
      <c r="S23" t="s">
        <v>148</v>
      </c>
    </row>
    <row r="24" spans="1:19" x14ac:dyDescent="0.25">
      <c r="A24" t="s">
        <v>362</v>
      </c>
      <c r="B24" t="s">
        <v>104</v>
      </c>
      <c r="C24" t="s">
        <v>484</v>
      </c>
      <c r="D24" t="s">
        <v>55</v>
      </c>
      <c r="E24" t="s">
        <v>363</v>
      </c>
      <c r="F24" t="s">
        <v>49</v>
      </c>
      <c r="G24" t="s">
        <v>51</v>
      </c>
      <c r="H24" t="s">
        <v>119</v>
      </c>
      <c r="I24" t="s">
        <v>364</v>
      </c>
      <c r="J24" t="b">
        <v>1</v>
      </c>
      <c r="K24" t="b">
        <v>0</v>
      </c>
      <c r="N24" t="s">
        <v>77</v>
      </c>
      <c r="O24" t="s">
        <v>365</v>
      </c>
      <c r="P24" t="s">
        <v>366</v>
      </c>
      <c r="Q24">
        <v>25</v>
      </c>
      <c r="R24" t="s">
        <v>115</v>
      </c>
      <c r="S24" t="s">
        <v>148</v>
      </c>
    </row>
    <row r="25" spans="1:19" x14ac:dyDescent="0.25">
      <c r="A25" t="s">
        <v>409</v>
      </c>
      <c r="B25" t="s">
        <v>104</v>
      </c>
      <c r="C25" t="s">
        <v>484</v>
      </c>
      <c r="D25" t="s">
        <v>55</v>
      </c>
      <c r="E25" t="s">
        <v>410</v>
      </c>
      <c r="F25" t="s">
        <v>49</v>
      </c>
      <c r="G25" t="s">
        <v>51</v>
      </c>
      <c r="H25" t="s">
        <v>119</v>
      </c>
      <c r="I25" t="s">
        <v>411</v>
      </c>
      <c r="J25" t="b">
        <v>1</v>
      </c>
      <c r="K25" t="b">
        <v>0</v>
      </c>
      <c r="N25" t="s">
        <v>78</v>
      </c>
      <c r="O25" t="s">
        <v>412</v>
      </c>
      <c r="P25" t="s">
        <v>413</v>
      </c>
      <c r="Q25">
        <v>25</v>
      </c>
      <c r="R25" t="s">
        <v>115</v>
      </c>
      <c r="S25" t="s">
        <v>148</v>
      </c>
    </row>
    <row r="26" spans="1:19" x14ac:dyDescent="0.25">
      <c r="A26" t="s">
        <v>430</v>
      </c>
      <c r="B26" t="s">
        <v>104</v>
      </c>
      <c r="C26" t="s">
        <v>484</v>
      </c>
      <c r="D26" t="s">
        <v>55</v>
      </c>
      <c r="E26" t="s">
        <v>431</v>
      </c>
      <c r="F26" t="s">
        <v>49</v>
      </c>
      <c r="G26" t="s">
        <v>52</v>
      </c>
      <c r="H26" t="s">
        <v>119</v>
      </c>
      <c r="I26" t="s">
        <v>432</v>
      </c>
      <c r="J26" t="s">
        <v>433</v>
      </c>
      <c r="K26" t="s">
        <v>434</v>
      </c>
      <c r="L26" t="s">
        <v>435</v>
      </c>
      <c r="N26" t="s">
        <v>77</v>
      </c>
      <c r="O26" t="s">
        <v>436</v>
      </c>
      <c r="P26" t="s">
        <v>437</v>
      </c>
      <c r="Q26">
        <v>35</v>
      </c>
      <c r="R26" t="s">
        <v>115</v>
      </c>
      <c r="S26" t="s">
        <v>133</v>
      </c>
    </row>
    <row r="27" spans="1:19" x14ac:dyDescent="0.25">
      <c r="A27" t="s">
        <v>168</v>
      </c>
      <c r="B27" t="s">
        <v>104</v>
      </c>
      <c r="C27" t="s">
        <v>485</v>
      </c>
      <c r="D27" t="s">
        <v>54</v>
      </c>
      <c r="E27" t="s">
        <v>169</v>
      </c>
      <c r="F27" t="s">
        <v>50</v>
      </c>
      <c r="G27" t="s">
        <v>52</v>
      </c>
      <c r="H27" t="s">
        <v>119</v>
      </c>
      <c r="I27" t="s">
        <v>170</v>
      </c>
      <c r="J27" t="s">
        <v>171</v>
      </c>
      <c r="K27" t="s">
        <v>172</v>
      </c>
      <c r="L27" t="s">
        <v>173</v>
      </c>
      <c r="M27" t="s">
        <v>174</v>
      </c>
      <c r="N27" t="s">
        <v>79</v>
      </c>
      <c r="O27" t="s">
        <v>175</v>
      </c>
      <c r="P27" t="s">
        <v>176</v>
      </c>
      <c r="Q27">
        <v>35</v>
      </c>
      <c r="R27" t="s">
        <v>115</v>
      </c>
      <c r="S27" t="s">
        <v>133</v>
      </c>
    </row>
    <row r="28" spans="1:19" x14ac:dyDescent="0.25">
      <c r="A28" t="s">
        <v>265</v>
      </c>
      <c r="B28" t="s">
        <v>104</v>
      </c>
      <c r="C28" t="s">
        <v>485</v>
      </c>
      <c r="D28" t="s">
        <v>54</v>
      </c>
      <c r="E28" t="s">
        <v>266</v>
      </c>
      <c r="F28" t="s">
        <v>50</v>
      </c>
      <c r="G28" t="s">
        <v>52</v>
      </c>
      <c r="H28" t="s">
        <v>119</v>
      </c>
      <c r="I28" t="s">
        <v>267</v>
      </c>
      <c r="J28" t="s">
        <v>268</v>
      </c>
      <c r="K28" t="s">
        <v>269</v>
      </c>
      <c r="L28" t="s">
        <v>270</v>
      </c>
      <c r="M28" t="s">
        <v>271</v>
      </c>
      <c r="N28" t="s">
        <v>77</v>
      </c>
      <c r="O28" t="s">
        <v>272</v>
      </c>
      <c r="P28" t="s">
        <v>273</v>
      </c>
      <c r="Q28">
        <v>35</v>
      </c>
      <c r="R28" t="s">
        <v>115</v>
      </c>
      <c r="S28" t="s">
        <v>133</v>
      </c>
    </row>
    <row r="29" spans="1:19" x14ac:dyDescent="0.25">
      <c r="A29" t="s">
        <v>274</v>
      </c>
      <c r="B29" t="s">
        <v>104</v>
      </c>
      <c r="C29" t="s">
        <v>485</v>
      </c>
      <c r="D29" t="s">
        <v>54</v>
      </c>
      <c r="E29" t="s">
        <v>275</v>
      </c>
      <c r="F29" t="s">
        <v>49</v>
      </c>
      <c r="G29" t="s">
        <v>51</v>
      </c>
      <c r="H29" t="s">
        <v>119</v>
      </c>
      <c r="I29" t="s">
        <v>276</v>
      </c>
      <c r="J29" t="b">
        <v>1</v>
      </c>
      <c r="K29" t="b">
        <v>0</v>
      </c>
      <c r="N29" t="s">
        <v>77</v>
      </c>
      <c r="O29" t="s">
        <v>277</v>
      </c>
      <c r="P29" t="s">
        <v>278</v>
      </c>
      <c r="Q29">
        <v>25</v>
      </c>
      <c r="R29" t="s">
        <v>115</v>
      </c>
      <c r="S29" t="s">
        <v>148</v>
      </c>
    </row>
    <row r="30" spans="1:19" x14ac:dyDescent="0.25">
      <c r="A30" t="s">
        <v>297</v>
      </c>
      <c r="B30" t="s">
        <v>104</v>
      </c>
      <c r="C30" t="s">
        <v>485</v>
      </c>
      <c r="D30" t="s">
        <v>54</v>
      </c>
      <c r="E30" t="s">
        <v>298</v>
      </c>
      <c r="F30" t="s">
        <v>50</v>
      </c>
      <c r="G30" t="s">
        <v>52</v>
      </c>
      <c r="H30" t="s">
        <v>119</v>
      </c>
      <c r="I30" t="s">
        <v>299</v>
      </c>
      <c r="J30" t="s">
        <v>300</v>
      </c>
      <c r="K30" t="s">
        <v>301</v>
      </c>
      <c r="L30" t="s">
        <v>302</v>
      </c>
      <c r="M30" t="s">
        <v>303</v>
      </c>
      <c r="N30" t="s">
        <v>78</v>
      </c>
      <c r="O30" t="s">
        <v>304</v>
      </c>
      <c r="P30" t="s">
        <v>305</v>
      </c>
      <c r="Q30">
        <v>35</v>
      </c>
      <c r="R30" t="s">
        <v>115</v>
      </c>
      <c r="S30" t="s">
        <v>133</v>
      </c>
    </row>
    <row r="31" spans="1:19" x14ac:dyDescent="0.25">
      <c r="A31" t="s">
        <v>338</v>
      </c>
      <c r="B31" t="s">
        <v>104</v>
      </c>
      <c r="C31" t="s">
        <v>485</v>
      </c>
      <c r="D31" t="s">
        <v>54</v>
      </c>
      <c r="E31" t="s">
        <v>339</v>
      </c>
      <c r="F31" t="s">
        <v>49</v>
      </c>
      <c r="G31" t="s">
        <v>51</v>
      </c>
      <c r="H31" t="s">
        <v>119</v>
      </c>
      <c r="I31" t="s">
        <v>340</v>
      </c>
      <c r="J31" t="b">
        <v>1</v>
      </c>
      <c r="K31" t="b">
        <v>0</v>
      </c>
      <c r="N31" t="s">
        <v>78</v>
      </c>
      <c r="O31" t="s">
        <v>341</v>
      </c>
      <c r="P31" t="s">
        <v>342</v>
      </c>
      <c r="Q31">
        <v>25</v>
      </c>
      <c r="R31" t="s">
        <v>115</v>
      </c>
      <c r="S31" t="s">
        <v>148</v>
      </c>
    </row>
    <row r="32" spans="1:19" x14ac:dyDescent="0.25">
      <c r="A32" t="s">
        <v>367</v>
      </c>
      <c r="B32" t="s">
        <v>104</v>
      </c>
      <c r="C32" t="s">
        <v>485</v>
      </c>
      <c r="D32" t="s">
        <v>54</v>
      </c>
      <c r="E32" t="s">
        <v>368</v>
      </c>
      <c r="F32" t="s">
        <v>49</v>
      </c>
      <c r="G32" t="s">
        <v>51</v>
      </c>
      <c r="H32" t="s">
        <v>119</v>
      </c>
      <c r="I32" t="s">
        <v>369</v>
      </c>
      <c r="J32" t="b">
        <v>1</v>
      </c>
      <c r="K32" t="b">
        <v>0</v>
      </c>
      <c r="N32" t="s">
        <v>78</v>
      </c>
      <c r="O32" t="s">
        <v>370</v>
      </c>
      <c r="P32" t="s">
        <v>371</v>
      </c>
      <c r="Q32">
        <v>25</v>
      </c>
      <c r="R32" t="s">
        <v>115</v>
      </c>
      <c r="S32" t="s">
        <v>148</v>
      </c>
    </row>
    <row r="33" spans="1:19" x14ac:dyDescent="0.25">
      <c r="A33" t="s">
        <v>372</v>
      </c>
      <c r="B33" t="s">
        <v>104</v>
      </c>
      <c r="C33" t="s">
        <v>485</v>
      </c>
      <c r="D33" t="s">
        <v>54</v>
      </c>
      <c r="E33" t="s">
        <v>373</v>
      </c>
      <c r="F33" t="s">
        <v>49</v>
      </c>
      <c r="G33" t="s">
        <v>52</v>
      </c>
      <c r="H33" t="s">
        <v>119</v>
      </c>
      <c r="I33" t="s">
        <v>374</v>
      </c>
      <c r="J33" t="s">
        <v>375</v>
      </c>
      <c r="K33" t="s">
        <v>376</v>
      </c>
      <c r="L33" t="s">
        <v>377</v>
      </c>
      <c r="N33" t="s">
        <v>77</v>
      </c>
      <c r="O33" t="s">
        <v>378</v>
      </c>
      <c r="P33" t="s">
        <v>379</v>
      </c>
      <c r="Q33">
        <v>30</v>
      </c>
      <c r="R33" t="s">
        <v>115</v>
      </c>
      <c r="S33" t="s">
        <v>133</v>
      </c>
    </row>
    <row r="34" spans="1:19" x14ac:dyDescent="0.25">
      <c r="A34" t="s">
        <v>380</v>
      </c>
      <c r="B34" t="s">
        <v>104</v>
      </c>
      <c r="C34" t="s">
        <v>485</v>
      </c>
      <c r="D34" t="s">
        <v>54</v>
      </c>
      <c r="E34" t="s">
        <v>381</v>
      </c>
      <c r="F34" t="s">
        <v>49</v>
      </c>
      <c r="G34" t="s">
        <v>52</v>
      </c>
      <c r="H34" t="s">
        <v>119</v>
      </c>
      <c r="I34" t="s">
        <v>382</v>
      </c>
      <c r="J34" t="s">
        <v>383</v>
      </c>
      <c r="K34" t="s">
        <v>384</v>
      </c>
      <c r="L34" t="s">
        <v>385</v>
      </c>
      <c r="N34" t="s">
        <v>78</v>
      </c>
      <c r="O34" t="s">
        <v>386</v>
      </c>
      <c r="P34" t="s">
        <v>387</v>
      </c>
      <c r="Q34">
        <v>30</v>
      </c>
      <c r="R34" t="s">
        <v>115</v>
      </c>
      <c r="S34" t="s">
        <v>133</v>
      </c>
    </row>
    <row r="35" spans="1:19" x14ac:dyDescent="0.25">
      <c r="A35" t="s">
        <v>388</v>
      </c>
      <c r="B35" t="s">
        <v>104</v>
      </c>
      <c r="C35" t="s">
        <v>485</v>
      </c>
      <c r="D35" t="s">
        <v>54</v>
      </c>
      <c r="E35" t="s">
        <v>389</v>
      </c>
      <c r="F35" t="s">
        <v>49</v>
      </c>
      <c r="G35" t="s">
        <v>52</v>
      </c>
      <c r="H35" t="s">
        <v>119</v>
      </c>
      <c r="I35" t="s">
        <v>390</v>
      </c>
      <c r="J35" t="s">
        <v>391</v>
      </c>
      <c r="K35" t="s">
        <v>392</v>
      </c>
      <c r="L35" t="s">
        <v>393</v>
      </c>
      <c r="N35" t="s">
        <v>77</v>
      </c>
      <c r="O35" t="s">
        <v>394</v>
      </c>
      <c r="P35" t="s">
        <v>395</v>
      </c>
      <c r="Q35">
        <v>30</v>
      </c>
      <c r="R35" t="s">
        <v>115</v>
      </c>
      <c r="S35" t="s">
        <v>133</v>
      </c>
    </row>
    <row r="36" spans="1:19" x14ac:dyDescent="0.25">
      <c r="A36" t="s">
        <v>396</v>
      </c>
      <c r="B36" t="s">
        <v>104</v>
      </c>
      <c r="C36" t="s">
        <v>485</v>
      </c>
      <c r="D36" t="s">
        <v>54</v>
      </c>
      <c r="E36" t="s">
        <v>397</v>
      </c>
      <c r="F36" t="s">
        <v>49</v>
      </c>
      <c r="G36" t="s">
        <v>52</v>
      </c>
      <c r="H36" t="s">
        <v>119</v>
      </c>
      <c r="I36" t="s">
        <v>398</v>
      </c>
      <c r="J36" t="s">
        <v>399</v>
      </c>
      <c r="K36" t="s">
        <v>400</v>
      </c>
      <c r="L36" t="s">
        <v>401</v>
      </c>
      <c r="N36" t="s">
        <v>77</v>
      </c>
      <c r="O36" t="s">
        <v>402</v>
      </c>
      <c r="P36" t="s">
        <v>403</v>
      </c>
      <c r="Q36">
        <v>40</v>
      </c>
      <c r="R36" t="s">
        <v>115</v>
      </c>
      <c r="S36" t="s">
        <v>133</v>
      </c>
    </row>
    <row r="37" spans="1:19" x14ac:dyDescent="0.25">
      <c r="A37" t="s">
        <v>404</v>
      </c>
      <c r="B37" t="s">
        <v>104</v>
      </c>
      <c r="C37" t="s">
        <v>485</v>
      </c>
      <c r="D37" t="s">
        <v>54</v>
      </c>
      <c r="E37" t="s">
        <v>405</v>
      </c>
      <c r="F37" t="s">
        <v>49</v>
      </c>
      <c r="G37" t="s">
        <v>51</v>
      </c>
      <c r="H37" t="s">
        <v>119</v>
      </c>
      <c r="I37" t="s">
        <v>406</v>
      </c>
      <c r="J37" t="b">
        <v>1</v>
      </c>
      <c r="K37" t="b">
        <v>0</v>
      </c>
      <c r="N37" t="s">
        <v>78</v>
      </c>
      <c r="O37" t="s">
        <v>407</v>
      </c>
      <c r="P37" t="s">
        <v>408</v>
      </c>
      <c r="Q37">
        <v>25</v>
      </c>
      <c r="R37" t="s">
        <v>115</v>
      </c>
      <c r="S37" t="s">
        <v>148</v>
      </c>
    </row>
    <row r="38" spans="1:19" x14ac:dyDescent="0.25">
      <c r="A38" t="s">
        <v>414</v>
      </c>
      <c r="B38" t="s">
        <v>104</v>
      </c>
      <c r="C38" t="s">
        <v>485</v>
      </c>
      <c r="D38" t="s">
        <v>54</v>
      </c>
      <c r="E38" t="s">
        <v>415</v>
      </c>
      <c r="F38" t="s">
        <v>49</v>
      </c>
      <c r="G38" t="s">
        <v>52</v>
      </c>
      <c r="H38" t="s">
        <v>119</v>
      </c>
      <c r="I38" t="s">
        <v>416</v>
      </c>
      <c r="J38" t="s">
        <v>417</v>
      </c>
      <c r="K38" t="s">
        <v>418</v>
      </c>
      <c r="L38" t="s">
        <v>419</v>
      </c>
      <c r="N38" t="s">
        <v>78</v>
      </c>
      <c r="O38" t="s">
        <v>420</v>
      </c>
      <c r="P38" t="s">
        <v>421</v>
      </c>
      <c r="Q38">
        <v>35</v>
      </c>
      <c r="R38" t="s">
        <v>115</v>
      </c>
      <c r="S38" t="s">
        <v>133</v>
      </c>
    </row>
    <row r="39" spans="1:19" x14ac:dyDescent="0.25">
      <c r="A39" t="s">
        <v>438</v>
      </c>
      <c r="B39" t="s">
        <v>104</v>
      </c>
      <c r="C39" t="s">
        <v>485</v>
      </c>
      <c r="D39" t="s">
        <v>54</v>
      </c>
      <c r="E39" t="s">
        <v>439</v>
      </c>
      <c r="F39" t="s">
        <v>50</v>
      </c>
      <c r="G39" t="s">
        <v>52</v>
      </c>
      <c r="H39" t="s">
        <v>119</v>
      </c>
      <c r="I39" t="s">
        <v>440</v>
      </c>
      <c r="J39" t="s">
        <v>441</v>
      </c>
      <c r="K39" t="s">
        <v>442</v>
      </c>
      <c r="L39" t="s">
        <v>443</v>
      </c>
      <c r="N39" t="s">
        <v>77</v>
      </c>
      <c r="O39" t="s">
        <v>444</v>
      </c>
      <c r="P39" t="s">
        <v>445</v>
      </c>
      <c r="Q39">
        <v>40</v>
      </c>
      <c r="R39" t="s">
        <v>115</v>
      </c>
      <c r="S39" t="s">
        <v>133</v>
      </c>
    </row>
    <row r="40" spans="1:19" x14ac:dyDescent="0.25">
      <c r="A40" t="s">
        <v>446</v>
      </c>
      <c r="B40" t="s">
        <v>104</v>
      </c>
      <c r="C40" t="s">
        <v>485</v>
      </c>
      <c r="D40" t="s">
        <v>54</v>
      </c>
      <c r="E40" t="s">
        <v>447</v>
      </c>
      <c r="F40" t="s">
        <v>50</v>
      </c>
      <c r="G40" t="s">
        <v>52</v>
      </c>
      <c r="H40" t="s">
        <v>119</v>
      </c>
      <c r="I40" t="s">
        <v>448</v>
      </c>
      <c r="J40" t="s">
        <v>449</v>
      </c>
      <c r="K40" t="s">
        <v>450</v>
      </c>
      <c r="L40" t="s">
        <v>451</v>
      </c>
      <c r="N40" t="s">
        <v>77</v>
      </c>
      <c r="O40" t="s">
        <v>452</v>
      </c>
      <c r="P40" t="s">
        <v>453</v>
      </c>
      <c r="Q40">
        <v>45</v>
      </c>
      <c r="R40" t="s">
        <v>115</v>
      </c>
      <c r="S40" t="s">
        <v>133</v>
      </c>
    </row>
    <row r="41" spans="1:19" x14ac:dyDescent="0.25">
      <c r="A41" t="s">
        <v>454</v>
      </c>
      <c r="B41" t="s">
        <v>104</v>
      </c>
      <c r="C41" t="s">
        <v>485</v>
      </c>
      <c r="D41" t="s">
        <v>54</v>
      </c>
      <c r="E41" t="s">
        <v>455</v>
      </c>
      <c r="F41" t="s">
        <v>50</v>
      </c>
      <c r="G41" t="s">
        <v>52</v>
      </c>
      <c r="H41" t="s">
        <v>119</v>
      </c>
      <c r="I41" t="s">
        <v>456</v>
      </c>
      <c r="J41" t="s">
        <v>457</v>
      </c>
      <c r="K41" t="s">
        <v>458</v>
      </c>
      <c r="L41" t="s">
        <v>459</v>
      </c>
      <c r="N41" t="s">
        <v>78</v>
      </c>
      <c r="O41" t="s">
        <v>460</v>
      </c>
      <c r="P41" t="s">
        <v>461</v>
      </c>
      <c r="Q41">
        <v>45</v>
      </c>
      <c r="R41" t="s">
        <v>115</v>
      </c>
      <c r="S41" t="s">
        <v>133</v>
      </c>
    </row>
    <row r="42" spans="1:19" x14ac:dyDescent="0.25">
      <c r="A42" t="s">
        <v>462</v>
      </c>
      <c r="B42" t="s">
        <v>104</v>
      </c>
      <c r="C42" t="s">
        <v>485</v>
      </c>
      <c r="D42" t="s">
        <v>54</v>
      </c>
      <c r="E42" t="s">
        <v>463</v>
      </c>
      <c r="F42" t="s">
        <v>49</v>
      </c>
      <c r="G42" t="s">
        <v>52</v>
      </c>
      <c r="H42" t="s">
        <v>119</v>
      </c>
      <c r="I42" t="s">
        <v>464</v>
      </c>
      <c r="J42" t="s">
        <v>465</v>
      </c>
      <c r="K42" t="s">
        <v>466</v>
      </c>
      <c r="L42" t="s">
        <v>467</v>
      </c>
      <c r="N42" t="s">
        <v>77</v>
      </c>
      <c r="O42" t="s">
        <v>468</v>
      </c>
      <c r="P42" t="s">
        <v>469</v>
      </c>
      <c r="Q42">
        <v>40</v>
      </c>
      <c r="R42" t="s">
        <v>115</v>
      </c>
      <c r="S42" t="s">
        <v>133</v>
      </c>
    </row>
    <row r="43" spans="1:19" x14ac:dyDescent="0.25">
      <c r="A43" t="s">
        <v>200</v>
      </c>
      <c r="B43" t="s">
        <v>104</v>
      </c>
      <c r="C43" t="s">
        <v>486</v>
      </c>
      <c r="D43" t="s">
        <v>27</v>
      </c>
      <c r="E43" t="s">
        <v>201</v>
      </c>
      <c r="F43" t="s">
        <v>49</v>
      </c>
      <c r="G43" t="s">
        <v>51</v>
      </c>
      <c r="H43" t="s">
        <v>119</v>
      </c>
      <c r="I43" t="s">
        <v>202</v>
      </c>
      <c r="J43" t="s">
        <v>203</v>
      </c>
      <c r="K43" t="s">
        <v>204</v>
      </c>
      <c r="L43" t="s">
        <v>205</v>
      </c>
      <c r="M43" t="s">
        <v>206</v>
      </c>
      <c r="N43" t="s">
        <v>77</v>
      </c>
      <c r="O43" t="s">
        <v>207</v>
      </c>
      <c r="P43" t="s">
        <v>208</v>
      </c>
      <c r="Q43">
        <v>30</v>
      </c>
      <c r="R43" t="s">
        <v>115</v>
      </c>
      <c r="S43" t="s">
        <v>133</v>
      </c>
    </row>
    <row r="44" spans="1:19" x14ac:dyDescent="0.25">
      <c r="A44" t="s">
        <v>209</v>
      </c>
      <c r="B44" t="s">
        <v>104</v>
      </c>
      <c r="C44" t="s">
        <v>486</v>
      </c>
      <c r="D44" t="s">
        <v>27</v>
      </c>
      <c r="E44" t="s">
        <v>210</v>
      </c>
      <c r="F44" t="s">
        <v>49</v>
      </c>
      <c r="G44" t="s">
        <v>52</v>
      </c>
      <c r="H44" t="s">
        <v>119</v>
      </c>
      <c r="I44" t="s">
        <v>211</v>
      </c>
      <c r="J44" t="b">
        <v>1</v>
      </c>
      <c r="K44" t="b">
        <v>0</v>
      </c>
      <c r="N44" t="s">
        <v>77</v>
      </c>
      <c r="O44" t="s">
        <v>212</v>
      </c>
      <c r="P44" t="s">
        <v>213</v>
      </c>
      <c r="Q44">
        <v>30</v>
      </c>
      <c r="R44" t="s">
        <v>115</v>
      </c>
      <c r="S44" t="s">
        <v>148</v>
      </c>
    </row>
    <row r="45" spans="1:19" x14ac:dyDescent="0.25">
      <c r="A45" t="s">
        <v>232</v>
      </c>
      <c r="B45" t="s">
        <v>104</v>
      </c>
      <c r="C45" t="s">
        <v>486</v>
      </c>
      <c r="D45" t="s">
        <v>27</v>
      </c>
      <c r="E45" t="s">
        <v>233</v>
      </c>
      <c r="F45" t="s">
        <v>50</v>
      </c>
      <c r="G45" t="s">
        <v>52</v>
      </c>
      <c r="H45" t="s">
        <v>119</v>
      </c>
      <c r="I45" t="s">
        <v>234</v>
      </c>
      <c r="J45" t="s">
        <v>235</v>
      </c>
      <c r="K45" t="s">
        <v>236</v>
      </c>
      <c r="L45" t="s">
        <v>237</v>
      </c>
      <c r="M45" t="s">
        <v>238</v>
      </c>
      <c r="N45" t="s">
        <v>77</v>
      </c>
      <c r="O45" t="s">
        <v>239</v>
      </c>
      <c r="P45" t="s">
        <v>240</v>
      </c>
      <c r="Q45">
        <v>35</v>
      </c>
      <c r="R45" t="s">
        <v>115</v>
      </c>
      <c r="S45" t="s">
        <v>133</v>
      </c>
    </row>
    <row r="46" spans="1:19" x14ac:dyDescent="0.25">
      <c r="A46" t="s">
        <v>311</v>
      </c>
      <c r="B46" t="s">
        <v>104</v>
      </c>
      <c r="C46" t="s">
        <v>486</v>
      </c>
      <c r="D46" t="s">
        <v>27</v>
      </c>
      <c r="E46" t="s">
        <v>312</v>
      </c>
      <c r="F46" t="s">
        <v>49</v>
      </c>
      <c r="G46" t="s">
        <v>51</v>
      </c>
      <c r="H46" t="s">
        <v>119</v>
      </c>
      <c r="I46" t="s">
        <v>313</v>
      </c>
      <c r="J46" t="s">
        <v>314</v>
      </c>
      <c r="K46" t="s">
        <v>315</v>
      </c>
      <c r="L46" t="s">
        <v>316</v>
      </c>
      <c r="M46" t="s">
        <v>317</v>
      </c>
      <c r="N46" t="s">
        <v>78</v>
      </c>
      <c r="O46" t="s">
        <v>318</v>
      </c>
      <c r="P46" t="s">
        <v>319</v>
      </c>
      <c r="Q46">
        <v>30</v>
      </c>
      <c r="R46" t="s">
        <v>115</v>
      </c>
      <c r="S46" t="s">
        <v>133</v>
      </c>
    </row>
    <row r="47" spans="1:19" x14ac:dyDescent="0.25">
      <c r="A47" t="s">
        <v>333</v>
      </c>
      <c r="B47" t="s">
        <v>104</v>
      </c>
      <c r="C47" t="s">
        <v>486</v>
      </c>
      <c r="D47" t="s">
        <v>27</v>
      </c>
      <c r="E47" t="s">
        <v>334</v>
      </c>
      <c r="F47" t="s">
        <v>49</v>
      </c>
      <c r="G47" t="s">
        <v>51</v>
      </c>
      <c r="H47" t="s">
        <v>119</v>
      </c>
      <c r="I47" t="s">
        <v>335</v>
      </c>
      <c r="J47" t="b">
        <v>1</v>
      </c>
      <c r="K47" t="b">
        <v>0</v>
      </c>
      <c r="N47" t="s">
        <v>78</v>
      </c>
      <c r="O47" t="s">
        <v>336</v>
      </c>
      <c r="P47" t="s">
        <v>337</v>
      </c>
      <c r="Q47">
        <v>25</v>
      </c>
      <c r="R47" t="s">
        <v>115</v>
      </c>
      <c r="S47" t="s">
        <v>148</v>
      </c>
    </row>
    <row r="48" spans="1:19" x14ac:dyDescent="0.25">
      <c r="A48" t="s">
        <v>470</v>
      </c>
      <c r="B48" t="s">
        <v>104</v>
      </c>
      <c r="C48" t="s">
        <v>487</v>
      </c>
      <c r="D48" t="s">
        <v>30</v>
      </c>
      <c r="E48" t="s">
        <v>471</v>
      </c>
      <c r="F48" t="s">
        <v>50</v>
      </c>
      <c r="G48" t="s">
        <v>52</v>
      </c>
      <c r="H48" t="s">
        <v>119</v>
      </c>
      <c r="I48" t="s">
        <v>472</v>
      </c>
      <c r="J48" t="s">
        <v>473</v>
      </c>
      <c r="K48" t="s">
        <v>474</v>
      </c>
      <c r="L48" t="s">
        <v>475</v>
      </c>
      <c r="N48" t="s">
        <v>77</v>
      </c>
      <c r="O48" t="s">
        <v>476</v>
      </c>
      <c r="P48" t="s">
        <v>477</v>
      </c>
      <c r="Q48">
        <v>35</v>
      </c>
      <c r="R48" t="s">
        <v>115</v>
      </c>
      <c r="S48" t="s">
        <v>133</v>
      </c>
    </row>
    <row r="49" spans="1:19" x14ac:dyDescent="0.25">
      <c r="A49" t="s">
        <v>343</v>
      </c>
      <c r="B49" t="s">
        <v>104</v>
      </c>
      <c r="C49" t="s">
        <v>13</v>
      </c>
      <c r="D49" t="s">
        <v>344</v>
      </c>
      <c r="E49" t="s">
        <v>345</v>
      </c>
      <c r="F49" t="s">
        <v>49</v>
      </c>
      <c r="G49" t="s">
        <v>51</v>
      </c>
      <c r="H49" t="s">
        <v>119</v>
      </c>
      <c r="I49" t="s">
        <v>346</v>
      </c>
      <c r="J49" t="b">
        <v>1</v>
      </c>
      <c r="K49" t="b">
        <v>0</v>
      </c>
      <c r="N49" t="s">
        <v>78</v>
      </c>
      <c r="O49" t="s">
        <v>347</v>
      </c>
      <c r="P49" t="s">
        <v>348</v>
      </c>
      <c r="Q49">
        <v>25</v>
      </c>
      <c r="R49" t="s">
        <v>115</v>
      </c>
      <c r="S49" t="s">
        <v>148</v>
      </c>
    </row>
    <row r="50" spans="1:19" x14ac:dyDescent="0.25">
      <c r="A50" t="s">
        <v>422</v>
      </c>
      <c r="B50" t="s">
        <v>104</v>
      </c>
      <c r="C50" t="s">
        <v>13</v>
      </c>
      <c r="D50" t="s">
        <v>344</v>
      </c>
      <c r="E50" t="s">
        <v>423</v>
      </c>
      <c r="F50" t="s">
        <v>49</v>
      </c>
      <c r="G50" t="s">
        <v>52</v>
      </c>
      <c r="H50" t="s">
        <v>119</v>
      </c>
      <c r="I50" t="s">
        <v>424</v>
      </c>
      <c r="J50" t="s">
        <v>425</v>
      </c>
      <c r="K50" t="s">
        <v>426</v>
      </c>
      <c r="L50" t="s">
        <v>427</v>
      </c>
      <c r="N50" t="s">
        <v>77</v>
      </c>
      <c r="O50" t="s">
        <v>428</v>
      </c>
      <c r="P50" t="s">
        <v>429</v>
      </c>
      <c r="Q50">
        <v>35</v>
      </c>
      <c r="R50" t="s">
        <v>115</v>
      </c>
      <c r="S50" t="s">
        <v>133</v>
      </c>
    </row>
    <row r="51" spans="1:19" x14ac:dyDescent="0.25">
      <c r="A51" t="s">
        <v>478</v>
      </c>
      <c r="B51" t="s">
        <v>104</v>
      </c>
      <c r="C51" t="s">
        <v>13</v>
      </c>
      <c r="D51" t="s">
        <v>344</v>
      </c>
      <c r="E51" t="s">
        <v>479</v>
      </c>
      <c r="F51" t="s">
        <v>49</v>
      </c>
      <c r="G51" t="s">
        <v>51</v>
      </c>
      <c r="H51" t="s">
        <v>119</v>
      </c>
      <c r="I51" t="s">
        <v>480</v>
      </c>
      <c r="J51" t="b">
        <v>1</v>
      </c>
      <c r="K51" t="b">
        <v>0</v>
      </c>
      <c r="N51" t="s">
        <v>78</v>
      </c>
      <c r="O51" t="s">
        <v>481</v>
      </c>
      <c r="P51" t="s">
        <v>482</v>
      </c>
      <c r="Q51">
        <v>25</v>
      </c>
      <c r="R51" t="s">
        <v>115</v>
      </c>
      <c r="S51" t="s">
        <v>148</v>
      </c>
    </row>
  </sheetData>
  <autoFilter ref="A1:S51" xr:uid="{72E9BBC2-F56C-4388-8A4E-7CCA7938065D}">
    <sortState xmlns:xlrd2="http://schemas.microsoft.com/office/spreadsheetml/2017/richdata2" ref="A2:S51">
      <sortCondition ref="C1:C5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1"/>
  <sheetViews>
    <sheetView workbookViewId="0"/>
  </sheetViews>
  <sheetFormatPr baseColWidth="10" defaultColWidth="9" defaultRowHeight="15" x14ac:dyDescent="0.25"/>
  <cols>
    <col min="1" max="1" width="13.5703125" bestFit="1" customWidth="1"/>
  </cols>
  <sheetData>
    <row r="1" spans="1:3" x14ac:dyDescent="0.25">
      <c r="A1" s="1" t="s">
        <v>53</v>
      </c>
      <c r="B1" s="1" t="s">
        <v>0</v>
      </c>
      <c r="C1" s="1" t="s">
        <v>1</v>
      </c>
    </row>
    <row r="2" spans="1:3" x14ac:dyDescent="0.25">
      <c r="A2">
        <v>1</v>
      </c>
      <c r="B2" t="s">
        <v>4</v>
      </c>
      <c r="C2" t="s">
        <v>18</v>
      </c>
    </row>
    <row r="3" spans="1:3" x14ac:dyDescent="0.25">
      <c r="A3">
        <v>2</v>
      </c>
      <c r="B3" t="s">
        <v>4</v>
      </c>
      <c r="C3" t="s">
        <v>18</v>
      </c>
    </row>
    <row r="4" spans="1:3" x14ac:dyDescent="0.25">
      <c r="A4">
        <v>3</v>
      </c>
      <c r="B4" t="s">
        <v>5</v>
      </c>
      <c r="C4" t="s">
        <v>19</v>
      </c>
    </row>
    <row r="5" spans="1:3" x14ac:dyDescent="0.25">
      <c r="A5">
        <v>4</v>
      </c>
      <c r="B5" t="s">
        <v>5</v>
      </c>
      <c r="C5" t="s">
        <v>19</v>
      </c>
    </row>
    <row r="6" spans="1:3" x14ac:dyDescent="0.25">
      <c r="A6">
        <v>5</v>
      </c>
      <c r="B6" t="s">
        <v>5</v>
      </c>
      <c r="C6" t="s">
        <v>19</v>
      </c>
    </row>
    <row r="7" spans="1:3" x14ac:dyDescent="0.25">
      <c r="A7">
        <v>6</v>
      </c>
      <c r="B7" t="s">
        <v>5</v>
      </c>
      <c r="C7" t="s">
        <v>19</v>
      </c>
    </row>
    <row r="8" spans="1:3" x14ac:dyDescent="0.25">
      <c r="A8">
        <v>7</v>
      </c>
      <c r="B8" t="s">
        <v>6</v>
      </c>
      <c r="C8" t="s">
        <v>20</v>
      </c>
    </row>
    <row r="9" spans="1:3" x14ac:dyDescent="0.25">
      <c r="A9">
        <v>8</v>
      </c>
      <c r="B9" t="s">
        <v>6</v>
      </c>
      <c r="C9" t="s">
        <v>20</v>
      </c>
    </row>
    <row r="10" spans="1:3" x14ac:dyDescent="0.25">
      <c r="A10">
        <v>9</v>
      </c>
      <c r="B10" t="s">
        <v>7</v>
      </c>
      <c r="C10" t="s">
        <v>21</v>
      </c>
    </row>
    <row r="11" spans="1:3" x14ac:dyDescent="0.25">
      <c r="A11">
        <v>10</v>
      </c>
      <c r="B11" t="s">
        <v>7</v>
      </c>
      <c r="C11" t="s">
        <v>21</v>
      </c>
    </row>
    <row r="12" spans="1:3" x14ac:dyDescent="0.25">
      <c r="A12">
        <v>11</v>
      </c>
      <c r="B12" t="s">
        <v>7</v>
      </c>
      <c r="C12" t="s">
        <v>21</v>
      </c>
    </row>
    <row r="13" spans="1:3" x14ac:dyDescent="0.25">
      <c r="A13">
        <v>12</v>
      </c>
      <c r="B13" t="s">
        <v>7</v>
      </c>
      <c r="C13" t="s">
        <v>21</v>
      </c>
    </row>
    <row r="14" spans="1:3" x14ac:dyDescent="0.25">
      <c r="A14">
        <v>13</v>
      </c>
      <c r="B14" t="s">
        <v>7</v>
      </c>
      <c r="C14" t="s">
        <v>21</v>
      </c>
    </row>
    <row r="15" spans="1:3" x14ac:dyDescent="0.25">
      <c r="A15">
        <v>13</v>
      </c>
      <c r="B15" t="s">
        <v>5</v>
      </c>
      <c r="C15" t="s">
        <v>19</v>
      </c>
    </row>
    <row r="16" spans="1:3" x14ac:dyDescent="0.25">
      <c r="A16">
        <v>14</v>
      </c>
      <c r="B16" t="s">
        <v>7</v>
      </c>
      <c r="C16" t="s">
        <v>21</v>
      </c>
    </row>
    <row r="17" spans="1:3" x14ac:dyDescent="0.25">
      <c r="A17">
        <v>15</v>
      </c>
      <c r="B17" t="s">
        <v>8</v>
      </c>
      <c r="C17" t="s">
        <v>22</v>
      </c>
    </row>
    <row r="18" spans="1:3" x14ac:dyDescent="0.25">
      <c r="A18">
        <v>16</v>
      </c>
      <c r="B18" t="s">
        <v>8</v>
      </c>
      <c r="C18" t="s">
        <v>22</v>
      </c>
    </row>
    <row r="19" spans="1:3" x14ac:dyDescent="0.25">
      <c r="A19">
        <v>19</v>
      </c>
      <c r="B19" t="s">
        <v>8</v>
      </c>
      <c r="C19" t="s">
        <v>22</v>
      </c>
    </row>
    <row r="20" spans="1:3" x14ac:dyDescent="0.25">
      <c r="A20">
        <v>20</v>
      </c>
      <c r="B20" t="s">
        <v>8</v>
      </c>
      <c r="C20" t="s">
        <v>22</v>
      </c>
    </row>
    <row r="21" spans="1:3" x14ac:dyDescent="0.25">
      <c r="A21">
        <v>21</v>
      </c>
      <c r="B21" t="s">
        <v>9</v>
      </c>
      <c r="C21" t="s">
        <v>23</v>
      </c>
    </row>
    <row r="22" spans="1:3" x14ac:dyDescent="0.25">
      <c r="A22">
        <v>22</v>
      </c>
      <c r="B22" t="s">
        <v>9</v>
      </c>
      <c r="C22" t="s">
        <v>23</v>
      </c>
    </row>
    <row r="23" spans="1:3" x14ac:dyDescent="0.25">
      <c r="A23">
        <v>24</v>
      </c>
      <c r="B23" t="s">
        <v>9</v>
      </c>
      <c r="C23" t="s">
        <v>23</v>
      </c>
    </row>
    <row r="24" spans="1:3" x14ac:dyDescent="0.25">
      <c r="A24">
        <v>25</v>
      </c>
      <c r="B24" t="s">
        <v>9</v>
      </c>
      <c r="C24" t="s">
        <v>23</v>
      </c>
    </row>
    <row r="25" spans="1:3" x14ac:dyDescent="0.25">
      <c r="A25">
        <v>28</v>
      </c>
      <c r="B25" t="s">
        <v>10</v>
      </c>
      <c r="C25" t="s">
        <v>24</v>
      </c>
    </row>
    <row r="26" spans="1:3" x14ac:dyDescent="0.25">
      <c r="A26">
        <v>29</v>
      </c>
      <c r="B26" t="s">
        <v>10</v>
      </c>
      <c r="C26" t="s">
        <v>24</v>
      </c>
    </row>
    <row r="27" spans="1:3" x14ac:dyDescent="0.25">
      <c r="A27">
        <v>30</v>
      </c>
      <c r="B27" t="s">
        <v>11</v>
      </c>
      <c r="C27" t="s">
        <v>25</v>
      </c>
    </row>
    <row r="28" spans="1:3" x14ac:dyDescent="0.25">
      <c r="A28">
        <v>31</v>
      </c>
      <c r="B28" t="s">
        <v>11</v>
      </c>
      <c r="C28" t="s">
        <v>25</v>
      </c>
    </row>
    <row r="29" spans="1:3" x14ac:dyDescent="0.25">
      <c r="A29">
        <v>32</v>
      </c>
      <c r="B29" t="s">
        <v>11</v>
      </c>
      <c r="C29" t="s">
        <v>25</v>
      </c>
    </row>
    <row r="30" spans="1:3" x14ac:dyDescent="0.25">
      <c r="A30">
        <v>33</v>
      </c>
      <c r="B30" t="s">
        <v>11</v>
      </c>
      <c r="C30" t="s">
        <v>25</v>
      </c>
    </row>
    <row r="31" spans="1:3" x14ac:dyDescent="0.25">
      <c r="A31">
        <v>34</v>
      </c>
      <c r="B31" t="s">
        <v>11</v>
      </c>
      <c r="C31" t="s">
        <v>25</v>
      </c>
    </row>
    <row r="32" spans="1:3" x14ac:dyDescent="0.25">
      <c r="A32">
        <v>35</v>
      </c>
      <c r="B32" t="s">
        <v>11</v>
      </c>
      <c r="C32" t="s">
        <v>25</v>
      </c>
    </row>
    <row r="33" spans="1:3" x14ac:dyDescent="0.25">
      <c r="A33">
        <v>36</v>
      </c>
      <c r="B33" t="s">
        <v>10</v>
      </c>
      <c r="C33" t="s">
        <v>24</v>
      </c>
    </row>
    <row r="34" spans="1:3" x14ac:dyDescent="0.25">
      <c r="A34">
        <v>43</v>
      </c>
      <c r="B34" t="s">
        <v>10</v>
      </c>
      <c r="C34" t="s">
        <v>24</v>
      </c>
    </row>
    <row r="35" spans="1:3" x14ac:dyDescent="0.25">
      <c r="A35">
        <v>44</v>
      </c>
      <c r="B35" t="s">
        <v>10</v>
      </c>
      <c r="C35" t="s">
        <v>24</v>
      </c>
    </row>
    <row r="36" spans="1:3" x14ac:dyDescent="0.25">
      <c r="A36">
        <v>45</v>
      </c>
      <c r="B36" t="s">
        <v>10</v>
      </c>
      <c r="C36" t="s">
        <v>24</v>
      </c>
    </row>
    <row r="37" spans="1:3" x14ac:dyDescent="0.25">
      <c r="A37">
        <v>46</v>
      </c>
      <c r="B37" t="s">
        <v>12</v>
      </c>
      <c r="C37" t="s">
        <v>26</v>
      </c>
    </row>
    <row r="38" spans="1:3" x14ac:dyDescent="0.25">
      <c r="A38">
        <v>47</v>
      </c>
      <c r="B38" t="s">
        <v>12</v>
      </c>
      <c r="C38" t="s">
        <v>26</v>
      </c>
    </row>
    <row r="39" spans="1:3" x14ac:dyDescent="0.25">
      <c r="A39">
        <v>48</v>
      </c>
      <c r="B39" t="s">
        <v>12</v>
      </c>
      <c r="C39" t="s">
        <v>26</v>
      </c>
    </row>
    <row r="40" spans="1:3" x14ac:dyDescent="0.25">
      <c r="A40">
        <v>49</v>
      </c>
      <c r="B40" t="s">
        <v>12</v>
      </c>
      <c r="C40" t="s">
        <v>26</v>
      </c>
    </row>
    <row r="41" spans="1:3" x14ac:dyDescent="0.25">
      <c r="A41">
        <v>50</v>
      </c>
      <c r="B41" t="s">
        <v>12</v>
      </c>
      <c r="C41" t="s">
        <v>26</v>
      </c>
    </row>
    <row r="42" spans="1:3" x14ac:dyDescent="0.25">
      <c r="A42">
        <v>51</v>
      </c>
      <c r="B42" t="s">
        <v>12</v>
      </c>
      <c r="C42" t="s">
        <v>26</v>
      </c>
    </row>
    <row r="43" spans="1:3" x14ac:dyDescent="0.25">
      <c r="A43">
        <v>52</v>
      </c>
      <c r="B43" t="s">
        <v>13</v>
      </c>
      <c r="C43" t="s">
        <v>27</v>
      </c>
    </row>
    <row r="44" spans="1:3" x14ac:dyDescent="0.25">
      <c r="A44">
        <v>53</v>
      </c>
      <c r="B44" t="s">
        <v>13</v>
      </c>
      <c r="C44" t="s">
        <v>27</v>
      </c>
    </row>
    <row r="45" spans="1:3" x14ac:dyDescent="0.25">
      <c r="A45">
        <v>54</v>
      </c>
      <c r="B45" t="s">
        <v>13</v>
      </c>
      <c r="C45" t="s">
        <v>27</v>
      </c>
    </row>
    <row r="46" spans="1:3" x14ac:dyDescent="0.25">
      <c r="A46">
        <v>55</v>
      </c>
      <c r="B46" t="s">
        <v>13</v>
      </c>
      <c r="C46" t="s">
        <v>27</v>
      </c>
    </row>
    <row r="47" spans="1:3" x14ac:dyDescent="0.25">
      <c r="A47">
        <v>56</v>
      </c>
      <c r="B47" t="s">
        <v>14</v>
      </c>
      <c r="C47" t="s">
        <v>28</v>
      </c>
    </row>
    <row r="48" spans="1:3" x14ac:dyDescent="0.25">
      <c r="A48">
        <v>57</v>
      </c>
      <c r="B48" t="s">
        <v>14</v>
      </c>
      <c r="C48" t="s">
        <v>28</v>
      </c>
    </row>
    <row r="49" spans="1:3" x14ac:dyDescent="0.25">
      <c r="A49">
        <v>58</v>
      </c>
      <c r="B49" t="s">
        <v>14</v>
      </c>
      <c r="C49" t="s">
        <v>28</v>
      </c>
    </row>
    <row r="50" spans="1:3" x14ac:dyDescent="0.25">
      <c r="A50">
        <v>59</v>
      </c>
      <c r="B50" t="s">
        <v>15</v>
      </c>
      <c r="C50" t="s">
        <v>29</v>
      </c>
    </row>
    <row r="51" spans="1:3" x14ac:dyDescent="0.25">
      <c r="A51">
        <v>60</v>
      </c>
      <c r="B51" t="s">
        <v>15</v>
      </c>
      <c r="C51" t="s">
        <v>29</v>
      </c>
    </row>
    <row r="52" spans="1:3" x14ac:dyDescent="0.25">
      <c r="A52">
        <v>61</v>
      </c>
      <c r="B52" t="s">
        <v>16</v>
      </c>
      <c r="C52" t="s">
        <v>30</v>
      </c>
    </row>
    <row r="53" spans="1:3" x14ac:dyDescent="0.25">
      <c r="A53">
        <v>62</v>
      </c>
      <c r="B53" t="s">
        <v>16</v>
      </c>
      <c r="C53" t="s">
        <v>30</v>
      </c>
    </row>
    <row r="54" spans="1:3" x14ac:dyDescent="0.25">
      <c r="A54">
        <v>63</v>
      </c>
      <c r="B54" t="s">
        <v>16</v>
      </c>
      <c r="C54" t="s">
        <v>30</v>
      </c>
    </row>
    <row r="55" spans="1:3" x14ac:dyDescent="0.25">
      <c r="A55">
        <v>64</v>
      </c>
      <c r="B55" t="s">
        <v>16</v>
      </c>
      <c r="C55" t="s">
        <v>30</v>
      </c>
    </row>
    <row r="56" spans="1:3" x14ac:dyDescent="0.25">
      <c r="A56">
        <v>65</v>
      </c>
      <c r="B56" t="s">
        <v>16</v>
      </c>
      <c r="C56" t="s">
        <v>30</v>
      </c>
    </row>
    <row r="57" spans="1:3" x14ac:dyDescent="0.25">
      <c r="A57">
        <v>66</v>
      </c>
      <c r="B57" t="s">
        <v>17</v>
      </c>
      <c r="C57" t="s">
        <v>31</v>
      </c>
    </row>
    <row r="58" spans="1:3" x14ac:dyDescent="0.25">
      <c r="A58">
        <v>67</v>
      </c>
      <c r="B58" t="s">
        <v>17</v>
      </c>
      <c r="C58" t="s">
        <v>31</v>
      </c>
    </row>
    <row r="59" spans="1:3" x14ac:dyDescent="0.25">
      <c r="A59">
        <v>68</v>
      </c>
      <c r="B59" t="s">
        <v>17</v>
      </c>
      <c r="C59" t="s">
        <v>31</v>
      </c>
    </row>
    <row r="60" spans="1:3" x14ac:dyDescent="0.25">
      <c r="A60">
        <v>69</v>
      </c>
      <c r="B60" t="s">
        <v>17</v>
      </c>
      <c r="C60" t="s">
        <v>31</v>
      </c>
    </row>
    <row r="61" spans="1:3" x14ac:dyDescent="0.25">
      <c r="A61">
        <v>70</v>
      </c>
      <c r="B61" t="s">
        <v>17</v>
      </c>
      <c r="C6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Dimensiones</vt:lpstr>
      <vt:lpstr>Blueprint</vt:lpstr>
      <vt:lpstr>BluePrint_VF</vt:lpstr>
      <vt:lpstr>Anexo Preguntas</vt:lpstr>
      <vt:lpstr>Hoja2</vt:lpstr>
      <vt:lpstr>Registro de Items</vt:lpstr>
      <vt:lpstr>Mapa_Anexo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Camila Utreras</cp:lastModifiedBy>
  <dcterms:created xsi:type="dcterms:W3CDTF">2025-09-11T15:05:59Z</dcterms:created>
  <dcterms:modified xsi:type="dcterms:W3CDTF">2025-11-17T22:29:16Z</dcterms:modified>
</cp:coreProperties>
</file>