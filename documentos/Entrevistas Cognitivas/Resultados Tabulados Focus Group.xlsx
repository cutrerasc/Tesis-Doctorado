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"/>
    </mc:Choice>
  </mc:AlternateContent>
  <xr:revisionPtr revIDLastSave="705" documentId="8_{BB8005D2-81AC-40DA-BB93-0C12873ADAFC}" xr6:coauthVersionLast="47" xr6:coauthVersionMax="47" xr10:uidLastSave="{9F39BA79-8967-490E-90A1-F36BBB3978EF}"/>
  <bookViews>
    <workbookView xWindow="-98" yWindow="-98" windowWidth="21795" windowHeight="12975" activeTab="2" xr2:uid="{04FBE7B9-22D0-4447-A4EA-05E944D448FC}"/>
  </bookViews>
  <sheets>
    <sheet name="Conceptos General" sheetId="1" r:id="rId1"/>
    <sheet name="Proceso Solicitud" sheetId="3" r:id="rId2"/>
    <sheet name="Modalidades" sheetId="2" r:id="rId3"/>
  </sheets>
  <definedNames>
    <definedName name="_xlnm._FilterDatabase" localSheetId="0" hidden="1">'Conceptos General'!$A$1:$J$27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O9" i="2"/>
  <c r="O3" i="2"/>
  <c r="O4" i="2"/>
  <c r="O5" i="2"/>
  <c r="O6" i="2"/>
  <c r="O7" i="2"/>
  <c r="O8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4" i="2"/>
  <c r="O35" i="2"/>
  <c r="O36" i="2"/>
  <c r="O37" i="2"/>
  <c r="O38" i="2"/>
  <c r="O39" i="2"/>
  <c r="O2" i="2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<sst xmlns="http://schemas.openxmlformats.org/spreadsheetml/2006/main" count="325" uniqueCount="112">
  <si>
    <t>ID_Concepto</t>
  </si>
  <si>
    <t>Concepto</t>
  </si>
  <si>
    <t>Escala</t>
  </si>
  <si>
    <t>P1</t>
  </si>
  <si>
    <t>P2</t>
  </si>
  <si>
    <t>P3</t>
  </si>
  <si>
    <t>P4</t>
  </si>
  <si>
    <t>P5</t>
  </si>
  <si>
    <t>P6</t>
  </si>
  <si>
    <t>Que es Pensión</t>
  </si>
  <si>
    <t>Claridad</t>
  </si>
  <si>
    <t>Lenguaje_Dificil</t>
  </si>
  <si>
    <t>Promedio</t>
  </si>
  <si>
    <t>PAFE</t>
  </si>
  <si>
    <t>AFP</t>
  </si>
  <si>
    <t>CSV</t>
  </si>
  <si>
    <t>Cotizaciones</t>
  </si>
  <si>
    <t>Saldo</t>
  </si>
  <si>
    <t>Ahorro Voluntario</t>
  </si>
  <si>
    <t>APV y APVC</t>
  </si>
  <si>
    <t>Cuenta 2</t>
  </si>
  <si>
    <t xml:space="preserve">Movilidad APV a Pensión </t>
  </si>
  <si>
    <t>ELD</t>
  </si>
  <si>
    <t>Asesores previsionals</t>
  </si>
  <si>
    <t>Comisiones AFP</t>
  </si>
  <si>
    <t xml:space="preserve">Solicitud Pension </t>
  </si>
  <si>
    <t xml:space="preserve">Certificado de Saldo </t>
  </si>
  <si>
    <t>SCOMP</t>
  </si>
  <si>
    <t>Solicitud Oferta</t>
  </si>
  <si>
    <t>Certificado Oferta</t>
  </si>
  <si>
    <t>Evaluacion alternativas</t>
  </si>
  <si>
    <t>Remate</t>
  </si>
  <si>
    <t>Aceptación oferta</t>
  </si>
  <si>
    <t>Inicio Pagos</t>
  </si>
  <si>
    <t>Pensión Sobrevivencia</t>
  </si>
  <si>
    <t>Beneficiarios Legales</t>
  </si>
  <si>
    <t xml:space="preserve">Montos Pensión de Sobrevivencia </t>
  </si>
  <si>
    <t xml:space="preserve">Herencia </t>
  </si>
  <si>
    <t xml:space="preserve">Quien recibe herencia </t>
  </si>
  <si>
    <t xml:space="preserve">Como calculo herencia </t>
  </si>
  <si>
    <t xml:space="preserve"> </t>
  </si>
  <si>
    <t>Modalidades</t>
  </si>
  <si>
    <t>Expectativa de Vida</t>
  </si>
  <si>
    <t>Riesgo de Longevidad</t>
  </si>
  <si>
    <t>Riesgo de Rentabilidad</t>
  </si>
  <si>
    <t>TITRP</t>
  </si>
  <si>
    <t>Tasa RV</t>
  </si>
  <si>
    <t>Cambio Modalidad</t>
  </si>
  <si>
    <t>RV</t>
  </si>
  <si>
    <t>Condiciones Especiales</t>
  </si>
  <si>
    <t>Periodo Garantizado</t>
  </si>
  <si>
    <t>Incremento Porcentaje</t>
  </si>
  <si>
    <t>Aumento Temporal</t>
  </si>
  <si>
    <t>Ejemplo RV</t>
  </si>
  <si>
    <t>RP</t>
  </si>
  <si>
    <t>Ejemplo RP</t>
  </si>
  <si>
    <t>RVI+RP</t>
  </si>
  <si>
    <t>Ejemplo RVI+RP</t>
  </si>
  <si>
    <t>RT+RVD</t>
  </si>
  <si>
    <t>Ejemplo RT+RVD</t>
  </si>
  <si>
    <t>P7</t>
  </si>
  <si>
    <t>P8</t>
  </si>
  <si>
    <t>P9</t>
  </si>
  <si>
    <t>P10</t>
  </si>
  <si>
    <t>P11</t>
  </si>
  <si>
    <t>?</t>
  </si>
  <si>
    <t xml:space="preserve">Se une al anterior </t>
  </si>
  <si>
    <t>Simplificar</t>
  </si>
  <si>
    <t>Enfasis en como afecta a la persona</t>
  </si>
  <si>
    <t>ok</t>
  </si>
  <si>
    <t xml:space="preserve">Explicar quienes participan en un remate </t>
  </si>
  <si>
    <t xml:space="preserve">Sale? </t>
  </si>
  <si>
    <t xml:space="preserve">Simplificar y poner incapié en los documentos </t>
  </si>
  <si>
    <t xml:space="preserve">¿quién es el causante? </t>
  </si>
  <si>
    <t xml:space="preserve">COMERE? </t>
  </si>
  <si>
    <t xml:space="preserve">Importante para beneficiarios y no para jubilado </t>
  </si>
  <si>
    <t xml:space="preserve">Se queda? </t>
  </si>
  <si>
    <t xml:space="preserve">Observaciones </t>
  </si>
  <si>
    <t xml:space="preserve">Observación </t>
  </si>
  <si>
    <t>Solo explicar pensión de vejez</t>
  </si>
  <si>
    <t>Se supone que ya lo saben</t>
  </si>
  <si>
    <t>Quizás no sea necesario para la persona que esta por jubilar</t>
  </si>
  <si>
    <t xml:space="preserve">más contexto previo </t>
  </si>
  <si>
    <t>Reenfocar a comisiones después de jubilar</t>
  </si>
  <si>
    <t>Algo más breve</t>
  </si>
  <si>
    <t>terminos muy económicos QUITAR MULTIFONDOS</t>
  </si>
  <si>
    <t xml:space="preserve">Muchas siglas sin explicación, aclarar el concepto </t>
  </si>
  <si>
    <t xml:space="preserve">Juntar con el anterior </t>
  </si>
  <si>
    <t>se explica en los siguientes</t>
  </si>
  <si>
    <t xml:space="preserve">Cambiar de posición </t>
  </si>
  <si>
    <t xml:space="preserve">Explicar cosas como los porcentajes que aparecen, poner el valor de la UF como referencia </t>
  </si>
  <si>
    <t xml:space="preserve">Demasiadas abreviaciones, falta explicación </t>
  </si>
  <si>
    <t>Observación 1</t>
  </si>
  <si>
    <t xml:space="preserve">Observación 2 </t>
  </si>
  <si>
    <t xml:space="preserve">Escrito en dificil </t>
  </si>
  <si>
    <t xml:space="preserve">Las referencias breves no se entienden, los tamños de los porcentajes confunden </t>
  </si>
  <si>
    <t>Quitar Multifondos</t>
  </si>
  <si>
    <t xml:space="preserve">Sacar </t>
  </si>
  <si>
    <t xml:space="preserve">Aparece SCOMP que es? Que es UF? </t>
  </si>
  <si>
    <t xml:space="preserve">Explicar mejor propiedad de fondos y pago de comisión </t>
  </si>
  <si>
    <t xml:space="preserve">Se resalta la importancia del costo de las clausulas </t>
  </si>
  <si>
    <t>Explicar mejor</t>
  </si>
  <si>
    <t xml:space="preserve">No queda claro el item de quien puede pedirla </t>
  </si>
  <si>
    <t xml:space="preserve">Agregar ejemplos con las clausulas </t>
  </si>
  <si>
    <t xml:space="preserve">No queda claro que las coberturas especiales son las mismas que se vieron antes </t>
  </si>
  <si>
    <t xml:space="preserve">No queda claro como se dividen los fondos </t>
  </si>
  <si>
    <t xml:space="preserve">Agregar un ejemplo escrito simple </t>
  </si>
  <si>
    <t>Rjrmplo escrito que guíe la imagen Agregar la comparación de las modalidades</t>
  </si>
  <si>
    <t xml:space="preserve">Nuevo Documeto </t>
  </si>
  <si>
    <t xml:space="preserve">ok </t>
  </si>
  <si>
    <t>Nuevo documento</t>
  </si>
  <si>
    <t>ok (unidos estos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</si>
</sst>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7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0871-1C42-4C4E-A71C-9061F7267D12}">
  <dimension ref="A1:M27"/>
  <sheetViews>
    <sheetView topLeftCell="A14" workbookViewId="0">
      <selection activeCell="M26" sqref="M26"/>
    </sheetView>
  </sheetViews>
  <sheetFormatPr baseColWidth="10" defaultRowHeight="14.25" x14ac:dyDescent="0.45"/>
  <cols>
    <col min="2" max="2" width="21.796875" bestFit="1" customWidth="1"/>
    <col min="3" max="3" width="16.19921875" customWidth="1"/>
    <col min="12" max="12" width="22" style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76</v>
      </c>
      <c r="L1" s="1" t="s">
        <v>78</v>
      </c>
      <c r="M1" t="s">
        <v>108</v>
      </c>
    </row>
    <row r="2" spans="1:13" ht="28.5" x14ac:dyDescent="0.45">
      <c r="A2">
        <v>1</v>
      </c>
      <c r="B2" t="s">
        <v>9</v>
      </c>
      <c r="C2" t="s">
        <v>10</v>
      </c>
      <c r="D2">
        <v>7</v>
      </c>
      <c r="E2">
        <v>6</v>
      </c>
      <c r="F2">
        <v>5</v>
      </c>
      <c r="G2">
        <v>5</v>
      </c>
      <c r="H2">
        <v>7</v>
      </c>
      <c r="I2">
        <v>7</v>
      </c>
      <c r="J2">
        <f t="shared" ref="J2:J27" si="0">AVERAGE(D2:I2)</f>
        <v>6.166666666666667</v>
      </c>
      <c r="K2">
        <v>1</v>
      </c>
      <c r="L2" s="1" t="s">
        <v>79</v>
      </c>
      <c r="M2" s="2" t="s">
        <v>109</v>
      </c>
    </row>
    <row r="3" spans="1:13" x14ac:dyDescent="0.45">
      <c r="A3">
        <v>1</v>
      </c>
      <c r="B3" t="s">
        <v>9</v>
      </c>
      <c r="C3" t="s">
        <v>11</v>
      </c>
      <c r="D3">
        <v>1</v>
      </c>
      <c r="E3">
        <v>3</v>
      </c>
      <c r="F3">
        <v>5</v>
      </c>
      <c r="G3">
        <v>3</v>
      </c>
      <c r="H3">
        <v>1</v>
      </c>
      <c r="I3">
        <v>1</v>
      </c>
      <c r="J3">
        <f t="shared" si="0"/>
        <v>2.3333333333333335</v>
      </c>
    </row>
    <row r="4" spans="1:13" x14ac:dyDescent="0.45">
      <c r="A4">
        <v>2</v>
      </c>
      <c r="B4" t="s">
        <v>13</v>
      </c>
      <c r="C4" t="s">
        <v>10</v>
      </c>
      <c r="D4">
        <v>3</v>
      </c>
      <c r="E4">
        <v>4</v>
      </c>
      <c r="F4">
        <v>5</v>
      </c>
      <c r="G4">
        <v>6</v>
      </c>
      <c r="H4">
        <v>5</v>
      </c>
      <c r="I4">
        <v>7</v>
      </c>
      <c r="J4">
        <f t="shared" si="0"/>
        <v>5</v>
      </c>
      <c r="K4">
        <v>1</v>
      </c>
      <c r="M4" s="2" t="s">
        <v>69</v>
      </c>
    </row>
    <row r="5" spans="1:13" x14ac:dyDescent="0.45">
      <c r="A5">
        <v>2</v>
      </c>
      <c r="B5" t="s">
        <v>13</v>
      </c>
      <c r="C5" t="s">
        <v>11</v>
      </c>
      <c r="D5">
        <v>4</v>
      </c>
      <c r="E5">
        <v>2</v>
      </c>
      <c r="F5">
        <v>6</v>
      </c>
      <c r="G5">
        <v>2</v>
      </c>
      <c r="H5">
        <v>1</v>
      </c>
      <c r="I5">
        <v>1</v>
      </c>
      <c r="J5">
        <f t="shared" si="0"/>
        <v>2.6666666666666665</v>
      </c>
    </row>
    <row r="6" spans="1:13" x14ac:dyDescent="0.45">
      <c r="A6">
        <v>3</v>
      </c>
      <c r="B6" t="s">
        <v>14</v>
      </c>
      <c r="C6" t="s">
        <v>10</v>
      </c>
      <c r="D6">
        <v>7</v>
      </c>
      <c r="E6">
        <v>7</v>
      </c>
      <c r="F6">
        <v>5</v>
      </c>
      <c r="G6">
        <v>6</v>
      </c>
      <c r="H6">
        <v>7</v>
      </c>
      <c r="I6">
        <v>7</v>
      </c>
      <c r="J6">
        <f t="shared" si="0"/>
        <v>6.5</v>
      </c>
      <c r="K6">
        <v>1</v>
      </c>
      <c r="M6" t="s">
        <v>69</v>
      </c>
    </row>
    <row r="7" spans="1:13" x14ac:dyDescent="0.45">
      <c r="A7">
        <v>3</v>
      </c>
      <c r="B7" t="s">
        <v>14</v>
      </c>
      <c r="C7" t="s">
        <v>11</v>
      </c>
      <c r="D7">
        <v>1</v>
      </c>
      <c r="E7">
        <v>1</v>
      </c>
      <c r="F7">
        <v>3</v>
      </c>
      <c r="G7">
        <v>2</v>
      </c>
      <c r="H7">
        <v>1</v>
      </c>
      <c r="I7">
        <v>1</v>
      </c>
      <c r="J7">
        <f t="shared" si="0"/>
        <v>1.5</v>
      </c>
    </row>
    <row r="8" spans="1:13" x14ac:dyDescent="0.45">
      <c r="A8">
        <v>4</v>
      </c>
      <c r="B8" t="s">
        <v>15</v>
      </c>
      <c r="C8" t="s">
        <v>10</v>
      </c>
      <c r="D8">
        <v>6</v>
      </c>
      <c r="E8">
        <v>4</v>
      </c>
      <c r="F8">
        <v>1</v>
      </c>
      <c r="G8">
        <v>6</v>
      </c>
      <c r="H8">
        <v>5</v>
      </c>
      <c r="I8">
        <v>7</v>
      </c>
      <c r="J8">
        <f t="shared" si="0"/>
        <v>4.833333333333333</v>
      </c>
      <c r="K8">
        <v>1</v>
      </c>
      <c r="M8" t="s">
        <v>69</v>
      </c>
    </row>
    <row r="9" spans="1:13" x14ac:dyDescent="0.45">
      <c r="A9">
        <v>4</v>
      </c>
      <c r="B9" t="s">
        <v>15</v>
      </c>
      <c r="C9" t="s">
        <v>11</v>
      </c>
      <c r="D9">
        <v>1</v>
      </c>
      <c r="E9">
        <v>4</v>
      </c>
      <c r="F9">
        <v>7</v>
      </c>
      <c r="G9">
        <v>1</v>
      </c>
      <c r="H9">
        <v>2</v>
      </c>
      <c r="I9">
        <v>1</v>
      </c>
      <c r="J9">
        <f t="shared" si="0"/>
        <v>2.6666666666666665</v>
      </c>
    </row>
    <row r="10" spans="1:13" x14ac:dyDescent="0.45">
      <c r="A10">
        <v>5</v>
      </c>
      <c r="B10" t="s">
        <v>16</v>
      </c>
      <c r="C10" t="s">
        <v>10</v>
      </c>
      <c r="D10">
        <v>7</v>
      </c>
      <c r="E10">
        <v>7</v>
      </c>
      <c r="F10">
        <v>7</v>
      </c>
      <c r="G10">
        <v>6</v>
      </c>
      <c r="H10">
        <v>6</v>
      </c>
      <c r="I10">
        <v>7</v>
      </c>
      <c r="J10">
        <f t="shared" si="0"/>
        <v>6.666666666666667</v>
      </c>
      <c r="K10">
        <v>0</v>
      </c>
      <c r="L10" s="1" t="s">
        <v>80</v>
      </c>
      <c r="M10" t="s">
        <v>69</v>
      </c>
    </row>
    <row r="11" spans="1:13" x14ac:dyDescent="0.45">
      <c r="A11">
        <v>5</v>
      </c>
      <c r="B11" t="s">
        <v>16</v>
      </c>
      <c r="C11" t="s">
        <v>11</v>
      </c>
      <c r="D11">
        <v>1</v>
      </c>
      <c r="E11">
        <v>2</v>
      </c>
      <c r="F11">
        <v>1</v>
      </c>
      <c r="G11">
        <v>2</v>
      </c>
      <c r="H11">
        <v>3</v>
      </c>
      <c r="I11">
        <v>1</v>
      </c>
      <c r="J11">
        <f t="shared" si="0"/>
        <v>1.6666666666666667</v>
      </c>
    </row>
    <row r="12" spans="1:13" x14ac:dyDescent="0.45">
      <c r="A12">
        <v>6</v>
      </c>
      <c r="B12" t="s">
        <v>17</v>
      </c>
      <c r="C12" t="s">
        <v>10</v>
      </c>
      <c r="D12">
        <v>6</v>
      </c>
      <c r="E12">
        <v>7</v>
      </c>
      <c r="F12">
        <v>7</v>
      </c>
      <c r="G12">
        <v>7</v>
      </c>
      <c r="H12">
        <v>7</v>
      </c>
      <c r="I12">
        <v>7</v>
      </c>
      <c r="J12">
        <f t="shared" si="0"/>
        <v>6.833333333333333</v>
      </c>
      <c r="K12">
        <v>1</v>
      </c>
      <c r="M12" t="s">
        <v>69</v>
      </c>
    </row>
    <row r="13" spans="1:13" x14ac:dyDescent="0.45">
      <c r="A13">
        <v>6</v>
      </c>
      <c r="B13" t="s">
        <v>17</v>
      </c>
      <c r="C13" t="s">
        <v>11</v>
      </c>
      <c r="D13">
        <v>1</v>
      </c>
      <c r="E13">
        <v>2</v>
      </c>
      <c r="F13">
        <v>3</v>
      </c>
      <c r="G13">
        <v>1</v>
      </c>
      <c r="H13">
        <v>2</v>
      </c>
      <c r="I13">
        <v>1</v>
      </c>
      <c r="J13">
        <f t="shared" si="0"/>
        <v>1.6666666666666667</v>
      </c>
    </row>
    <row r="14" spans="1:13" ht="42.75" x14ac:dyDescent="0.45">
      <c r="A14">
        <v>7</v>
      </c>
      <c r="B14" t="s">
        <v>18</v>
      </c>
      <c r="C14" t="s">
        <v>10</v>
      </c>
      <c r="D14">
        <v>7</v>
      </c>
      <c r="E14">
        <v>7</v>
      </c>
      <c r="F14">
        <v>7</v>
      </c>
      <c r="G14">
        <v>6</v>
      </c>
      <c r="H14">
        <v>5</v>
      </c>
      <c r="I14">
        <v>7</v>
      </c>
      <c r="J14">
        <f t="shared" si="0"/>
        <v>6.5</v>
      </c>
      <c r="K14">
        <v>0</v>
      </c>
      <c r="L14" s="1" t="s">
        <v>81</v>
      </c>
      <c r="M14" t="s">
        <v>69</v>
      </c>
    </row>
    <row r="15" spans="1:13" x14ac:dyDescent="0.45">
      <c r="A15">
        <v>7</v>
      </c>
      <c r="B15" t="s">
        <v>18</v>
      </c>
      <c r="C15" t="s">
        <v>11</v>
      </c>
      <c r="D15">
        <v>1</v>
      </c>
      <c r="E15">
        <v>1</v>
      </c>
      <c r="F15">
        <v>1</v>
      </c>
      <c r="G15">
        <v>1</v>
      </c>
      <c r="H15">
        <v>2</v>
      </c>
      <c r="I15">
        <v>1</v>
      </c>
      <c r="J15">
        <f t="shared" si="0"/>
        <v>1.1666666666666667</v>
      </c>
    </row>
    <row r="16" spans="1:13" ht="42.75" x14ac:dyDescent="0.45">
      <c r="A16">
        <v>8</v>
      </c>
      <c r="B16" t="s">
        <v>19</v>
      </c>
      <c r="C16" t="s">
        <v>10</v>
      </c>
      <c r="D16">
        <v>7</v>
      </c>
      <c r="E16">
        <v>7</v>
      </c>
      <c r="F16">
        <v>7</v>
      </c>
      <c r="G16">
        <v>6</v>
      </c>
      <c r="H16">
        <v>4</v>
      </c>
      <c r="I16">
        <v>7</v>
      </c>
      <c r="J16">
        <f t="shared" si="0"/>
        <v>6.333333333333333</v>
      </c>
      <c r="K16">
        <v>0</v>
      </c>
      <c r="L16" s="1" t="s">
        <v>81</v>
      </c>
      <c r="M16" t="s">
        <v>69</v>
      </c>
    </row>
    <row r="17" spans="1:13" x14ac:dyDescent="0.45">
      <c r="A17">
        <v>8</v>
      </c>
      <c r="B17" t="s">
        <v>19</v>
      </c>
      <c r="C17" t="s">
        <v>11</v>
      </c>
      <c r="D17">
        <v>1</v>
      </c>
      <c r="E17">
        <v>1</v>
      </c>
      <c r="F17">
        <v>3</v>
      </c>
      <c r="G17">
        <v>1</v>
      </c>
      <c r="H17">
        <v>2</v>
      </c>
      <c r="I17">
        <v>1</v>
      </c>
      <c r="J17">
        <f t="shared" si="0"/>
        <v>1.5</v>
      </c>
    </row>
    <row r="18" spans="1:13" ht="42.75" x14ac:dyDescent="0.45">
      <c r="A18">
        <v>9</v>
      </c>
      <c r="B18" t="s">
        <v>20</v>
      </c>
      <c r="C18" t="s">
        <v>10</v>
      </c>
      <c r="D18">
        <v>7</v>
      </c>
      <c r="E18">
        <v>7</v>
      </c>
      <c r="F18">
        <v>6</v>
      </c>
      <c r="G18">
        <v>7</v>
      </c>
      <c r="H18">
        <v>4</v>
      </c>
      <c r="I18">
        <v>7</v>
      </c>
      <c r="J18">
        <f t="shared" si="0"/>
        <v>6.333333333333333</v>
      </c>
      <c r="K18">
        <v>0</v>
      </c>
      <c r="L18" s="1" t="s">
        <v>81</v>
      </c>
      <c r="M18" t="s">
        <v>69</v>
      </c>
    </row>
    <row r="19" spans="1:13" x14ac:dyDescent="0.45">
      <c r="A19">
        <v>9</v>
      </c>
      <c r="B19" t="s">
        <v>20</v>
      </c>
      <c r="C19" t="s">
        <v>11</v>
      </c>
      <c r="D19">
        <v>1</v>
      </c>
      <c r="E19">
        <v>2</v>
      </c>
      <c r="F19">
        <v>3</v>
      </c>
      <c r="G19">
        <v>1</v>
      </c>
      <c r="H19">
        <v>2</v>
      </c>
      <c r="I19">
        <v>1</v>
      </c>
      <c r="J19">
        <f t="shared" si="0"/>
        <v>1.6666666666666667</v>
      </c>
    </row>
    <row r="20" spans="1:13" x14ac:dyDescent="0.45">
      <c r="A20">
        <v>10</v>
      </c>
      <c r="B20" t="s">
        <v>21</v>
      </c>
      <c r="C20" t="s">
        <v>10</v>
      </c>
      <c r="D20">
        <v>3</v>
      </c>
      <c r="E20">
        <v>5</v>
      </c>
      <c r="F20">
        <v>4</v>
      </c>
      <c r="G20">
        <v>5</v>
      </c>
      <c r="H20">
        <v>4</v>
      </c>
      <c r="I20">
        <v>7</v>
      </c>
      <c r="J20">
        <f t="shared" si="0"/>
        <v>4.666666666666667</v>
      </c>
      <c r="K20">
        <v>1</v>
      </c>
      <c r="L20" s="1" t="s">
        <v>69</v>
      </c>
      <c r="M20" t="s">
        <v>69</v>
      </c>
    </row>
    <row r="21" spans="1:13" x14ac:dyDescent="0.45">
      <c r="A21">
        <v>10</v>
      </c>
      <c r="B21" t="s">
        <v>21</v>
      </c>
      <c r="C21" t="s">
        <v>11</v>
      </c>
      <c r="D21">
        <v>3</v>
      </c>
      <c r="E21">
        <v>5</v>
      </c>
      <c r="F21">
        <v>4</v>
      </c>
      <c r="G21">
        <v>2</v>
      </c>
      <c r="H21">
        <v>2</v>
      </c>
      <c r="I21">
        <v>1</v>
      </c>
      <c r="J21">
        <f t="shared" si="0"/>
        <v>2.8333333333333335</v>
      </c>
    </row>
    <row r="22" spans="1:13" x14ac:dyDescent="0.45">
      <c r="A22">
        <v>11</v>
      </c>
      <c r="B22" t="s">
        <v>22</v>
      </c>
      <c r="C22" t="s">
        <v>10</v>
      </c>
      <c r="D22">
        <v>6</v>
      </c>
      <c r="E22">
        <v>6</v>
      </c>
      <c r="F22">
        <v>5</v>
      </c>
      <c r="G22">
        <v>6</v>
      </c>
      <c r="H22">
        <v>2</v>
      </c>
      <c r="I22">
        <v>7</v>
      </c>
      <c r="J22">
        <f t="shared" si="0"/>
        <v>5.333333333333333</v>
      </c>
      <c r="K22">
        <v>1</v>
      </c>
      <c r="L22" s="1" t="s">
        <v>82</v>
      </c>
      <c r="M22" t="s">
        <v>69</v>
      </c>
    </row>
    <row r="23" spans="1:13" x14ac:dyDescent="0.45">
      <c r="A23">
        <v>11</v>
      </c>
      <c r="B23" t="s">
        <v>22</v>
      </c>
      <c r="C23" t="s">
        <v>11</v>
      </c>
      <c r="D23">
        <v>2</v>
      </c>
      <c r="E23">
        <v>4</v>
      </c>
      <c r="F23">
        <v>5</v>
      </c>
      <c r="G23">
        <v>2</v>
      </c>
      <c r="H23">
        <v>2</v>
      </c>
      <c r="I23">
        <v>1</v>
      </c>
      <c r="J23">
        <f t="shared" si="0"/>
        <v>2.6666666666666665</v>
      </c>
    </row>
    <row r="24" spans="1:13" x14ac:dyDescent="0.45">
      <c r="A24">
        <v>12</v>
      </c>
      <c r="B24" t="s">
        <v>23</v>
      </c>
      <c r="C24" t="s">
        <v>10</v>
      </c>
      <c r="D24">
        <v>1</v>
      </c>
      <c r="E24">
        <v>7</v>
      </c>
      <c r="F24">
        <v>3</v>
      </c>
      <c r="G24">
        <v>6</v>
      </c>
      <c r="H24">
        <v>6</v>
      </c>
      <c r="I24">
        <v>4</v>
      </c>
      <c r="J24">
        <f t="shared" si="0"/>
        <v>4.5</v>
      </c>
      <c r="K24">
        <v>1</v>
      </c>
      <c r="M24" t="s">
        <v>69</v>
      </c>
    </row>
    <row r="25" spans="1:13" x14ac:dyDescent="0.45">
      <c r="A25">
        <v>12</v>
      </c>
      <c r="B25" t="s">
        <v>23</v>
      </c>
      <c r="C25" t="s">
        <v>11</v>
      </c>
      <c r="D25">
        <v>5</v>
      </c>
      <c r="E25">
        <v>4</v>
      </c>
      <c r="F25">
        <v>7</v>
      </c>
      <c r="G25">
        <v>1</v>
      </c>
      <c r="H25">
        <v>1</v>
      </c>
      <c r="I25">
        <v>1</v>
      </c>
      <c r="J25">
        <f t="shared" si="0"/>
        <v>3.1666666666666665</v>
      </c>
    </row>
    <row r="26" spans="1:13" ht="28.5" x14ac:dyDescent="0.45">
      <c r="A26">
        <v>13</v>
      </c>
      <c r="B26" t="s">
        <v>24</v>
      </c>
      <c r="C26" t="s">
        <v>10</v>
      </c>
      <c r="D26">
        <v>4</v>
      </c>
      <c r="E26">
        <v>7</v>
      </c>
      <c r="F26">
        <v>4</v>
      </c>
      <c r="G26">
        <v>6</v>
      </c>
      <c r="H26">
        <v>6</v>
      </c>
      <c r="I26">
        <v>7</v>
      </c>
      <c r="J26">
        <f t="shared" si="0"/>
        <v>5.666666666666667</v>
      </c>
      <c r="K26">
        <v>1</v>
      </c>
      <c r="L26" s="1" t="s">
        <v>83</v>
      </c>
      <c r="M26" t="s">
        <v>109</v>
      </c>
    </row>
    <row r="27" spans="1:13" x14ac:dyDescent="0.45">
      <c r="A27">
        <v>13</v>
      </c>
      <c r="B27" t="s">
        <v>24</v>
      </c>
      <c r="C27" t="s">
        <v>11</v>
      </c>
      <c r="D27">
        <v>3</v>
      </c>
      <c r="E27">
        <v>3</v>
      </c>
      <c r="F27">
        <v>6</v>
      </c>
      <c r="G27">
        <v>2</v>
      </c>
      <c r="H27">
        <v>1</v>
      </c>
      <c r="I27">
        <v>1</v>
      </c>
      <c r="J27">
        <f t="shared" si="0"/>
        <v>2.6666666666666665</v>
      </c>
    </row>
  </sheetData>
  <autoFilter ref="A1:J27" xr:uid="{61300871-1C42-4C4E-A71C-9061F7267D12}"/>
  <conditionalFormatting sqref="K2 J2:J27 K4 K6 K8 K10 K20 K22 K24 K26">
    <cfRule type="expression" dxfId="6" priority="1">
      <formula>OR(AND(C2="Claridad",J2&gt;5),AND(C2="Lenguaje_Dificil",J2&lt;3))</formula>
    </cfRule>
    <cfRule type="expression" dxfId="5" priority="2">
      <formula>AND(C2="Lenguaje_Dificil",J2&gt;=3)</formula>
    </cfRule>
    <cfRule type="expression" dxfId="4" priority="3">
      <formula>AND(C2="Claridad",J2&lt;=5)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BCD5-7803-4C85-A6BF-76A56B06B350}">
  <dimension ref="A1:M31"/>
  <sheetViews>
    <sheetView topLeftCell="B15" zoomScale="115" zoomScaleNormal="115" workbookViewId="0">
      <selection activeCell="M26" sqref="M26"/>
    </sheetView>
  </sheetViews>
  <sheetFormatPr baseColWidth="10" defaultRowHeight="14.25" x14ac:dyDescent="0.45"/>
  <cols>
    <col min="2" max="2" width="29" bestFit="1" customWidth="1"/>
    <col min="11" max="11" width="9.6640625" bestFit="1" customWidth="1"/>
    <col min="12" max="12" width="22.46484375" style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76</v>
      </c>
      <c r="L1" s="1" t="s">
        <v>77</v>
      </c>
      <c r="M1" t="s">
        <v>110</v>
      </c>
    </row>
    <row r="2" spans="1:13" x14ac:dyDescent="0.45">
      <c r="A2">
        <v>14</v>
      </c>
      <c r="B2" t="s">
        <v>25</v>
      </c>
      <c r="C2" t="s">
        <v>10</v>
      </c>
      <c r="D2">
        <v>4</v>
      </c>
      <c r="E2">
        <v>6</v>
      </c>
      <c r="F2">
        <v>6</v>
      </c>
      <c r="G2">
        <v>6</v>
      </c>
      <c r="H2">
        <v>6</v>
      </c>
      <c r="I2">
        <v>6</v>
      </c>
      <c r="J2">
        <f t="shared" ref="J2:J31" si="0">AVERAGE(D2:I2)</f>
        <v>5.666666666666667</v>
      </c>
      <c r="K2">
        <v>1</v>
      </c>
      <c r="L2" s="1" t="s">
        <v>67</v>
      </c>
      <c r="M2" t="s">
        <v>69</v>
      </c>
    </row>
    <row r="3" spans="1:13" x14ac:dyDescent="0.45">
      <c r="A3">
        <v>14</v>
      </c>
      <c r="B3" t="s">
        <v>25</v>
      </c>
      <c r="C3" t="s">
        <v>11</v>
      </c>
      <c r="D3">
        <v>2</v>
      </c>
      <c r="E3">
        <v>1</v>
      </c>
      <c r="F3">
        <v>5</v>
      </c>
      <c r="G3">
        <v>4</v>
      </c>
      <c r="H3">
        <v>3</v>
      </c>
      <c r="I3">
        <v>2</v>
      </c>
      <c r="J3">
        <f t="shared" si="0"/>
        <v>2.8333333333333335</v>
      </c>
    </row>
    <row r="4" spans="1:13" x14ac:dyDescent="0.45">
      <c r="A4">
        <v>15</v>
      </c>
      <c r="B4" t="s">
        <v>26</v>
      </c>
      <c r="C4" t="s">
        <v>10</v>
      </c>
      <c r="D4">
        <v>7</v>
      </c>
      <c r="E4">
        <v>5</v>
      </c>
      <c r="F4">
        <v>6</v>
      </c>
      <c r="G4">
        <v>5</v>
      </c>
      <c r="H4">
        <v>6</v>
      </c>
      <c r="I4">
        <v>4</v>
      </c>
      <c r="J4">
        <f t="shared" si="0"/>
        <v>5.5</v>
      </c>
      <c r="K4">
        <v>1</v>
      </c>
      <c r="L4" s="1" t="s">
        <v>67</v>
      </c>
      <c r="M4" t="s">
        <v>69</v>
      </c>
    </row>
    <row r="5" spans="1:13" x14ac:dyDescent="0.45">
      <c r="A5">
        <v>15</v>
      </c>
      <c r="B5" t="s">
        <v>26</v>
      </c>
      <c r="C5" t="s">
        <v>11</v>
      </c>
      <c r="D5">
        <v>1</v>
      </c>
      <c r="E5">
        <v>2</v>
      </c>
      <c r="F5">
        <v>4</v>
      </c>
      <c r="G5">
        <v>4</v>
      </c>
      <c r="H5">
        <v>3</v>
      </c>
      <c r="I5">
        <v>4</v>
      </c>
      <c r="J5">
        <f t="shared" si="0"/>
        <v>3</v>
      </c>
    </row>
    <row r="6" spans="1:13" ht="28.5" x14ac:dyDescent="0.45">
      <c r="A6">
        <v>16</v>
      </c>
      <c r="B6" t="s">
        <v>27</v>
      </c>
      <c r="C6" t="s">
        <v>10</v>
      </c>
      <c r="D6">
        <v>6</v>
      </c>
      <c r="E6">
        <v>5</v>
      </c>
      <c r="F6">
        <v>7</v>
      </c>
      <c r="G6">
        <v>6</v>
      </c>
      <c r="H6">
        <v>7</v>
      </c>
      <c r="I6">
        <v>5</v>
      </c>
      <c r="J6">
        <f t="shared" si="0"/>
        <v>6</v>
      </c>
      <c r="K6">
        <v>1</v>
      </c>
      <c r="L6" s="1" t="s">
        <v>68</v>
      </c>
      <c r="M6" t="s">
        <v>69</v>
      </c>
    </row>
    <row r="7" spans="1:13" x14ac:dyDescent="0.45">
      <c r="A7">
        <v>16</v>
      </c>
      <c r="B7" t="s">
        <v>27</v>
      </c>
      <c r="C7" t="s">
        <v>11</v>
      </c>
      <c r="D7">
        <v>1</v>
      </c>
      <c r="E7">
        <v>2</v>
      </c>
      <c r="F7">
        <v>2</v>
      </c>
      <c r="G7">
        <v>1</v>
      </c>
      <c r="H7">
        <v>1</v>
      </c>
      <c r="I7">
        <v>1</v>
      </c>
      <c r="J7">
        <f t="shared" si="0"/>
        <v>1.3333333333333333</v>
      </c>
    </row>
    <row r="8" spans="1:13" x14ac:dyDescent="0.45">
      <c r="A8">
        <v>17</v>
      </c>
      <c r="B8" t="s">
        <v>28</v>
      </c>
      <c r="C8" t="s">
        <v>10</v>
      </c>
      <c r="D8">
        <v>6</v>
      </c>
      <c r="E8">
        <v>7</v>
      </c>
      <c r="F8">
        <v>7</v>
      </c>
      <c r="G8">
        <v>4</v>
      </c>
      <c r="H8">
        <v>5</v>
      </c>
      <c r="I8">
        <v>3</v>
      </c>
      <c r="J8">
        <f t="shared" si="0"/>
        <v>5.333333333333333</v>
      </c>
      <c r="K8">
        <v>1</v>
      </c>
      <c r="L8" s="1" t="s">
        <v>67</v>
      </c>
      <c r="M8" t="s">
        <v>69</v>
      </c>
    </row>
    <row r="9" spans="1:13" x14ac:dyDescent="0.45">
      <c r="A9">
        <v>17</v>
      </c>
      <c r="B9" t="s">
        <v>28</v>
      </c>
      <c r="C9" t="s">
        <v>11</v>
      </c>
      <c r="D9">
        <v>1</v>
      </c>
      <c r="E9">
        <v>2</v>
      </c>
      <c r="F9">
        <v>1</v>
      </c>
      <c r="G9">
        <v>6</v>
      </c>
      <c r="H9">
        <v>2</v>
      </c>
      <c r="I9">
        <v>1</v>
      </c>
      <c r="J9">
        <f t="shared" si="0"/>
        <v>2.1666666666666665</v>
      </c>
    </row>
    <row r="10" spans="1:13" x14ac:dyDescent="0.45">
      <c r="A10">
        <v>18</v>
      </c>
      <c r="B10" t="s">
        <v>29</v>
      </c>
      <c r="C10" t="s">
        <v>10</v>
      </c>
      <c r="D10">
        <v>7</v>
      </c>
      <c r="E10">
        <v>4</v>
      </c>
      <c r="F10">
        <v>7</v>
      </c>
      <c r="G10">
        <v>5</v>
      </c>
      <c r="H10">
        <v>7</v>
      </c>
      <c r="I10">
        <v>6</v>
      </c>
      <c r="J10">
        <f t="shared" si="0"/>
        <v>6</v>
      </c>
      <c r="K10">
        <v>1</v>
      </c>
      <c r="L10" s="1" t="s">
        <v>69</v>
      </c>
      <c r="M10" t="s">
        <v>69</v>
      </c>
    </row>
    <row r="11" spans="1:13" x14ac:dyDescent="0.45">
      <c r="A11">
        <v>18</v>
      </c>
      <c r="B11" t="s">
        <v>29</v>
      </c>
      <c r="C11" t="s">
        <v>11</v>
      </c>
      <c r="D11">
        <v>1</v>
      </c>
      <c r="E11">
        <v>3</v>
      </c>
      <c r="F11">
        <v>4</v>
      </c>
      <c r="G11">
        <v>5</v>
      </c>
      <c r="H11">
        <v>3</v>
      </c>
      <c r="I11">
        <v>1</v>
      </c>
      <c r="J11">
        <f t="shared" si="0"/>
        <v>2.8333333333333335</v>
      </c>
    </row>
    <row r="12" spans="1:13" ht="28.5" x14ac:dyDescent="0.45">
      <c r="A12">
        <v>19</v>
      </c>
      <c r="B12" t="s">
        <v>30</v>
      </c>
      <c r="C12" t="s">
        <v>10</v>
      </c>
      <c r="D12">
        <v>5</v>
      </c>
      <c r="E12">
        <v>6</v>
      </c>
      <c r="F12">
        <v>6</v>
      </c>
      <c r="G12">
        <v>6</v>
      </c>
      <c r="H12">
        <v>7</v>
      </c>
      <c r="I12">
        <v>7</v>
      </c>
      <c r="J12">
        <f t="shared" si="0"/>
        <v>6.166666666666667</v>
      </c>
      <c r="K12">
        <v>1</v>
      </c>
      <c r="L12" s="1" t="s">
        <v>70</v>
      </c>
      <c r="M12" t="s">
        <v>69</v>
      </c>
    </row>
    <row r="13" spans="1:13" x14ac:dyDescent="0.45">
      <c r="A13">
        <v>19</v>
      </c>
      <c r="B13" t="s">
        <v>30</v>
      </c>
      <c r="C13" t="s">
        <v>11</v>
      </c>
      <c r="D13">
        <v>1</v>
      </c>
      <c r="E13">
        <v>2</v>
      </c>
      <c r="F13">
        <v>3</v>
      </c>
      <c r="G13">
        <v>6</v>
      </c>
      <c r="H13">
        <v>1</v>
      </c>
      <c r="I13">
        <v>1</v>
      </c>
      <c r="J13">
        <f t="shared" si="0"/>
        <v>2.3333333333333335</v>
      </c>
    </row>
    <row r="14" spans="1:13" x14ac:dyDescent="0.45">
      <c r="A14">
        <v>20</v>
      </c>
      <c r="B14" t="s">
        <v>31</v>
      </c>
      <c r="C14" t="s">
        <v>10</v>
      </c>
      <c r="D14">
        <v>4</v>
      </c>
      <c r="E14">
        <v>5</v>
      </c>
      <c r="F14">
        <v>7</v>
      </c>
      <c r="G14">
        <v>1</v>
      </c>
      <c r="H14">
        <v>5</v>
      </c>
      <c r="I14">
        <v>5</v>
      </c>
      <c r="J14">
        <f t="shared" si="0"/>
        <v>4.5</v>
      </c>
      <c r="K14">
        <v>0</v>
      </c>
      <c r="L14" s="1" t="s">
        <v>71</v>
      </c>
      <c r="M14" t="s">
        <v>69</v>
      </c>
    </row>
    <row r="15" spans="1:13" x14ac:dyDescent="0.45">
      <c r="A15">
        <v>20</v>
      </c>
      <c r="B15" t="s">
        <v>31</v>
      </c>
      <c r="C15" t="s">
        <v>11</v>
      </c>
      <c r="D15">
        <v>1</v>
      </c>
      <c r="E15">
        <v>2</v>
      </c>
      <c r="F15">
        <v>1</v>
      </c>
      <c r="G15">
        <v>5</v>
      </c>
      <c r="H15">
        <v>3</v>
      </c>
      <c r="I15">
        <v>3</v>
      </c>
      <c r="J15">
        <f t="shared" si="0"/>
        <v>2.5</v>
      </c>
    </row>
    <row r="16" spans="1:13" ht="28.5" x14ac:dyDescent="0.45">
      <c r="A16">
        <v>21</v>
      </c>
      <c r="B16" t="s">
        <v>32</v>
      </c>
      <c r="C16" t="s">
        <v>10</v>
      </c>
      <c r="D16">
        <v>4</v>
      </c>
      <c r="E16">
        <v>5</v>
      </c>
      <c r="F16">
        <v>7</v>
      </c>
      <c r="G16">
        <v>5</v>
      </c>
      <c r="H16">
        <v>7</v>
      </c>
      <c r="I16">
        <v>7</v>
      </c>
      <c r="J16">
        <f t="shared" si="0"/>
        <v>5.833333333333333</v>
      </c>
      <c r="K16">
        <v>1</v>
      </c>
      <c r="L16" s="1" t="s">
        <v>72</v>
      </c>
      <c r="M16" t="s">
        <v>69</v>
      </c>
    </row>
    <row r="17" spans="1:13" x14ac:dyDescent="0.45">
      <c r="A17">
        <v>21</v>
      </c>
      <c r="B17" t="s">
        <v>32</v>
      </c>
      <c r="C17" t="s">
        <v>11</v>
      </c>
      <c r="D17">
        <v>1</v>
      </c>
      <c r="E17">
        <v>2</v>
      </c>
      <c r="F17">
        <v>1</v>
      </c>
      <c r="G17">
        <v>5</v>
      </c>
      <c r="H17">
        <v>2</v>
      </c>
      <c r="I17">
        <v>1</v>
      </c>
      <c r="J17">
        <f t="shared" si="0"/>
        <v>2</v>
      </c>
    </row>
    <row r="18" spans="1:13" x14ac:dyDescent="0.45">
      <c r="A18">
        <v>22</v>
      </c>
      <c r="B18" t="s">
        <v>33</v>
      </c>
      <c r="C18" t="s">
        <v>10</v>
      </c>
      <c r="D18">
        <v>5</v>
      </c>
      <c r="E18">
        <v>6</v>
      </c>
      <c r="F18">
        <v>5</v>
      </c>
      <c r="G18">
        <v>7</v>
      </c>
      <c r="H18">
        <v>7</v>
      </c>
      <c r="I18">
        <v>6</v>
      </c>
      <c r="J18">
        <f t="shared" si="0"/>
        <v>6</v>
      </c>
      <c r="K18">
        <v>1</v>
      </c>
      <c r="L18" s="1" t="s">
        <v>69</v>
      </c>
      <c r="M18" t="s">
        <v>69</v>
      </c>
    </row>
    <row r="19" spans="1:13" x14ac:dyDescent="0.45">
      <c r="A19">
        <v>22</v>
      </c>
      <c r="B19" t="s">
        <v>33</v>
      </c>
      <c r="C19" t="s">
        <v>11</v>
      </c>
      <c r="D19">
        <v>1</v>
      </c>
      <c r="E19">
        <v>1</v>
      </c>
      <c r="F19">
        <v>2</v>
      </c>
      <c r="G19">
        <v>1</v>
      </c>
      <c r="H19">
        <v>1</v>
      </c>
      <c r="I19">
        <v>1</v>
      </c>
      <c r="J19">
        <f t="shared" si="0"/>
        <v>1.1666666666666667</v>
      </c>
    </row>
    <row r="20" spans="1:13" x14ac:dyDescent="0.45">
      <c r="A20">
        <v>23</v>
      </c>
      <c r="B20" t="s">
        <v>34</v>
      </c>
      <c r="C20" t="s">
        <v>10</v>
      </c>
      <c r="D20">
        <v>6</v>
      </c>
      <c r="E20">
        <v>7</v>
      </c>
      <c r="F20">
        <v>5</v>
      </c>
      <c r="G20">
        <v>7</v>
      </c>
      <c r="H20">
        <v>5</v>
      </c>
      <c r="I20">
        <v>4</v>
      </c>
      <c r="J20">
        <f t="shared" si="0"/>
        <v>5.666666666666667</v>
      </c>
      <c r="K20">
        <v>1</v>
      </c>
      <c r="L20" s="1" t="s">
        <v>73</v>
      </c>
      <c r="M20" t="s">
        <v>69</v>
      </c>
    </row>
    <row r="21" spans="1:13" x14ac:dyDescent="0.45">
      <c r="A21">
        <v>23</v>
      </c>
      <c r="B21" t="s">
        <v>34</v>
      </c>
      <c r="C21" t="s">
        <v>11</v>
      </c>
      <c r="D21">
        <v>1</v>
      </c>
      <c r="E21">
        <v>1</v>
      </c>
      <c r="F21">
        <v>1</v>
      </c>
      <c r="G21">
        <v>1</v>
      </c>
      <c r="H21">
        <v>2</v>
      </c>
      <c r="I21">
        <v>2</v>
      </c>
      <c r="J21">
        <f t="shared" si="0"/>
        <v>1.3333333333333333</v>
      </c>
    </row>
    <row r="22" spans="1:13" x14ac:dyDescent="0.45">
      <c r="A22">
        <v>24</v>
      </c>
      <c r="B22" t="s">
        <v>35</v>
      </c>
      <c r="C22" t="s">
        <v>10</v>
      </c>
      <c r="D22">
        <v>7</v>
      </c>
      <c r="E22">
        <v>7</v>
      </c>
      <c r="F22">
        <v>3</v>
      </c>
      <c r="G22">
        <v>7</v>
      </c>
      <c r="H22">
        <v>6</v>
      </c>
      <c r="I22">
        <v>6</v>
      </c>
      <c r="J22">
        <f t="shared" si="0"/>
        <v>6</v>
      </c>
      <c r="K22">
        <v>1</v>
      </c>
      <c r="L22" s="1" t="s">
        <v>74</v>
      </c>
      <c r="M22" t="s">
        <v>69</v>
      </c>
    </row>
    <row r="23" spans="1:13" x14ac:dyDescent="0.45">
      <c r="A23">
        <v>24</v>
      </c>
      <c r="B23" t="s">
        <v>35</v>
      </c>
      <c r="C23" t="s">
        <v>11</v>
      </c>
      <c r="D23">
        <v>1</v>
      </c>
      <c r="E23">
        <v>1</v>
      </c>
      <c r="F23">
        <v>6</v>
      </c>
      <c r="G23">
        <v>1</v>
      </c>
      <c r="H23">
        <v>2</v>
      </c>
      <c r="I23">
        <v>1</v>
      </c>
      <c r="J23">
        <f t="shared" si="0"/>
        <v>2</v>
      </c>
    </row>
    <row r="24" spans="1:13" ht="42.75" x14ac:dyDescent="0.45">
      <c r="A24">
        <v>25</v>
      </c>
      <c r="B24" t="s">
        <v>36</v>
      </c>
      <c r="C24" t="s">
        <v>10</v>
      </c>
      <c r="D24">
        <v>3</v>
      </c>
      <c r="E24">
        <v>7</v>
      </c>
      <c r="F24">
        <v>5</v>
      </c>
      <c r="G24">
        <v>3</v>
      </c>
      <c r="H24">
        <v>4</v>
      </c>
      <c r="I24">
        <v>6</v>
      </c>
      <c r="J24">
        <f t="shared" si="0"/>
        <v>4.666666666666667</v>
      </c>
      <c r="K24">
        <v>0</v>
      </c>
      <c r="L24" s="1" t="s">
        <v>75</v>
      </c>
    </row>
    <row r="25" spans="1:13" x14ac:dyDescent="0.45">
      <c r="A25">
        <v>25</v>
      </c>
      <c r="B25" t="s">
        <v>36</v>
      </c>
      <c r="C25" t="s">
        <v>11</v>
      </c>
      <c r="D25">
        <v>2</v>
      </c>
      <c r="E25">
        <v>1</v>
      </c>
      <c r="F25">
        <v>3</v>
      </c>
      <c r="G25">
        <v>1</v>
      </c>
      <c r="H25">
        <v>2</v>
      </c>
      <c r="I25">
        <v>4</v>
      </c>
      <c r="J25">
        <f t="shared" si="0"/>
        <v>2.1666666666666665</v>
      </c>
    </row>
    <row r="26" spans="1:13" x14ac:dyDescent="0.45">
      <c r="A26">
        <v>26</v>
      </c>
      <c r="B26" t="s">
        <v>37</v>
      </c>
      <c r="C26" t="s">
        <v>10</v>
      </c>
      <c r="D26">
        <v>6</v>
      </c>
      <c r="E26">
        <v>7</v>
      </c>
      <c r="F26">
        <v>4</v>
      </c>
      <c r="G26">
        <v>5</v>
      </c>
      <c r="H26">
        <v>6</v>
      </c>
      <c r="I26">
        <v>7</v>
      </c>
      <c r="J26">
        <f t="shared" si="0"/>
        <v>5.833333333333333</v>
      </c>
      <c r="K26">
        <v>1</v>
      </c>
      <c r="L26" s="1" t="s">
        <v>69</v>
      </c>
      <c r="M26" t="s">
        <v>111</v>
      </c>
    </row>
    <row r="27" spans="1:13" x14ac:dyDescent="0.45">
      <c r="A27">
        <v>26</v>
      </c>
      <c r="B27" t="s">
        <v>37</v>
      </c>
      <c r="C27" t="s">
        <v>11</v>
      </c>
      <c r="D27">
        <v>1</v>
      </c>
      <c r="E27">
        <v>1</v>
      </c>
      <c r="F27">
        <v>2</v>
      </c>
      <c r="G27">
        <v>2</v>
      </c>
      <c r="H27">
        <v>1</v>
      </c>
      <c r="I27">
        <v>1</v>
      </c>
      <c r="J27">
        <f t="shared" si="0"/>
        <v>1.3333333333333333</v>
      </c>
    </row>
    <row r="28" spans="1:13" x14ac:dyDescent="0.45">
      <c r="A28">
        <v>27</v>
      </c>
      <c r="B28" t="s">
        <v>38</v>
      </c>
      <c r="C28" t="s">
        <v>10</v>
      </c>
      <c r="D28">
        <v>2</v>
      </c>
      <c r="E28">
        <v>5</v>
      </c>
      <c r="F28">
        <v>2</v>
      </c>
      <c r="G28">
        <v>3</v>
      </c>
      <c r="H28">
        <v>5</v>
      </c>
      <c r="I28">
        <v>3</v>
      </c>
      <c r="J28">
        <f t="shared" si="0"/>
        <v>3.3333333333333335</v>
      </c>
      <c r="K28">
        <v>1</v>
      </c>
      <c r="L28" s="1" t="s">
        <v>66</v>
      </c>
    </row>
    <row r="29" spans="1:13" x14ac:dyDescent="0.45">
      <c r="A29">
        <v>27</v>
      </c>
      <c r="B29" t="s">
        <v>38</v>
      </c>
      <c r="C29" t="s">
        <v>11</v>
      </c>
      <c r="D29">
        <v>6</v>
      </c>
      <c r="E29">
        <v>3</v>
      </c>
      <c r="F29">
        <v>5</v>
      </c>
      <c r="G29">
        <v>3</v>
      </c>
      <c r="H29">
        <v>2</v>
      </c>
      <c r="I29">
        <v>6</v>
      </c>
      <c r="J29">
        <f t="shared" si="0"/>
        <v>4.166666666666667</v>
      </c>
    </row>
    <row r="30" spans="1:13" x14ac:dyDescent="0.45">
      <c r="A30">
        <v>28</v>
      </c>
      <c r="B30" t="s">
        <v>39</v>
      </c>
      <c r="C30" t="s">
        <v>10</v>
      </c>
      <c r="D30">
        <v>4</v>
      </c>
      <c r="E30">
        <v>1</v>
      </c>
      <c r="F30">
        <v>5</v>
      </c>
      <c r="G30">
        <v>3</v>
      </c>
      <c r="H30">
        <v>6</v>
      </c>
      <c r="I30">
        <v>4</v>
      </c>
      <c r="J30">
        <f t="shared" si="0"/>
        <v>3.8333333333333335</v>
      </c>
      <c r="K30">
        <v>0</v>
      </c>
      <c r="L30" s="1" t="s">
        <v>66</v>
      </c>
    </row>
    <row r="31" spans="1:13" x14ac:dyDescent="0.45">
      <c r="A31">
        <v>28</v>
      </c>
      <c r="B31" t="s">
        <v>39</v>
      </c>
      <c r="C31" t="s">
        <v>11</v>
      </c>
      <c r="D31">
        <v>2</v>
      </c>
      <c r="E31">
        <v>4</v>
      </c>
      <c r="F31">
        <v>2</v>
      </c>
      <c r="G31">
        <v>1</v>
      </c>
      <c r="H31">
        <v>2</v>
      </c>
      <c r="I31">
        <v>4</v>
      </c>
      <c r="J31">
        <f t="shared" si="0"/>
        <v>2.5</v>
      </c>
    </row>
  </sheetData>
  <conditionalFormatting sqref="J2:J31 K4 K6 K8 K10 K12 K14 K16 K18 K20 K22 K26 K28 K30">
    <cfRule type="expression" dxfId="3" priority="1">
      <formula>OR(AND(C2="Lenguaje_Dificil",J2&lt;3),AND(C2="Claridad",J2&gt;5))</formula>
    </cfRule>
    <cfRule type="expression" dxfId="2" priority="2">
      <formula>OR(AND(C2="Lenguaje_Dificil",J2&gt;=3),AND(C2="Claridad",J2&lt;=5))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0A32-D5CE-43E7-A09C-C5EBDD1E675B}">
  <dimension ref="A1:S39"/>
  <sheetViews>
    <sheetView tabSelected="1" workbookViewId="0">
      <selection activeCell="S6" sqref="S6"/>
    </sheetView>
  </sheetViews>
  <sheetFormatPr baseColWidth="10" defaultRowHeight="14.25" x14ac:dyDescent="0.45"/>
  <cols>
    <col min="2" max="2" width="20.59765625" bestFit="1" customWidth="1"/>
    <col min="3" max="3" width="13.796875" bestFit="1" customWidth="1"/>
    <col min="4" max="12" width="2.73046875" bestFit="1" customWidth="1"/>
    <col min="13" max="14" width="3.73046875" bestFit="1" customWidth="1"/>
    <col min="17" max="17" width="29.6640625" style="1" customWidth="1"/>
    <col min="18" max="18" width="17.6640625" style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12</v>
      </c>
      <c r="P1" t="s">
        <v>76</v>
      </c>
      <c r="Q1" s="1" t="s">
        <v>92</v>
      </c>
      <c r="R1" s="1" t="s">
        <v>93</v>
      </c>
    </row>
    <row r="2" spans="1:19" x14ac:dyDescent="0.45">
      <c r="A2">
        <v>29</v>
      </c>
      <c r="B2" t="s">
        <v>41</v>
      </c>
      <c r="C2" t="s">
        <v>10</v>
      </c>
      <c r="D2">
        <v>5</v>
      </c>
      <c r="E2">
        <v>5</v>
      </c>
      <c r="F2">
        <v>2</v>
      </c>
      <c r="G2">
        <v>5</v>
      </c>
      <c r="H2">
        <v>4</v>
      </c>
      <c r="I2">
        <v>5</v>
      </c>
      <c r="J2">
        <v>3</v>
      </c>
      <c r="K2">
        <v>5</v>
      </c>
      <c r="L2">
        <v>6</v>
      </c>
      <c r="M2">
        <v>4</v>
      </c>
      <c r="N2">
        <v>5</v>
      </c>
      <c r="O2">
        <f t="shared" ref="O2:O39" si="0">AVERAGE(D2:N2)</f>
        <v>4.4545454545454541</v>
      </c>
      <c r="P2">
        <v>1</v>
      </c>
      <c r="R2" s="1" t="s">
        <v>94</v>
      </c>
      <c r="S2" t="s">
        <v>69</v>
      </c>
    </row>
    <row r="3" spans="1:19" x14ac:dyDescent="0.45">
      <c r="A3">
        <v>29</v>
      </c>
      <c r="B3" t="s">
        <v>41</v>
      </c>
      <c r="C3" t="s">
        <v>11</v>
      </c>
      <c r="D3">
        <v>3</v>
      </c>
      <c r="E3">
        <v>4</v>
      </c>
      <c r="F3">
        <v>5</v>
      </c>
      <c r="G3">
        <v>6</v>
      </c>
      <c r="H3">
        <v>3</v>
      </c>
      <c r="I3">
        <v>5</v>
      </c>
      <c r="J3">
        <v>6</v>
      </c>
      <c r="K3">
        <v>3</v>
      </c>
      <c r="L3">
        <v>2</v>
      </c>
      <c r="M3">
        <v>3</v>
      </c>
      <c r="N3">
        <v>4</v>
      </c>
      <c r="O3">
        <f t="shared" si="0"/>
        <v>4</v>
      </c>
    </row>
    <row r="4" spans="1:19" ht="85.5" x14ac:dyDescent="0.45">
      <c r="A4">
        <v>30</v>
      </c>
      <c r="B4" t="s">
        <v>42</v>
      </c>
      <c r="C4" t="s">
        <v>10</v>
      </c>
      <c r="D4">
        <v>6</v>
      </c>
      <c r="E4">
        <v>6</v>
      </c>
      <c r="F4">
        <v>6</v>
      </c>
      <c r="G4">
        <v>7</v>
      </c>
      <c r="H4">
        <v>7</v>
      </c>
      <c r="I4">
        <v>7</v>
      </c>
      <c r="J4">
        <v>4</v>
      </c>
      <c r="K4">
        <v>5</v>
      </c>
      <c r="L4">
        <v>7</v>
      </c>
      <c r="M4">
        <v>3</v>
      </c>
      <c r="N4">
        <v>6</v>
      </c>
      <c r="O4">
        <f t="shared" si="0"/>
        <v>5.8181818181818183</v>
      </c>
      <c r="P4">
        <v>0</v>
      </c>
      <c r="Q4" s="1" t="s">
        <v>84</v>
      </c>
      <c r="R4" s="1" t="s">
        <v>95</v>
      </c>
      <c r="S4" t="s">
        <v>69</v>
      </c>
    </row>
    <row r="5" spans="1:19" x14ac:dyDescent="0.45">
      <c r="A5">
        <v>30</v>
      </c>
      <c r="B5" t="s">
        <v>42</v>
      </c>
      <c r="C5" t="s">
        <v>11</v>
      </c>
      <c r="D5">
        <v>1</v>
      </c>
      <c r="E5">
        <v>5</v>
      </c>
      <c r="F5">
        <v>3</v>
      </c>
      <c r="G5">
        <v>2</v>
      </c>
      <c r="H5">
        <v>2</v>
      </c>
      <c r="I5">
        <v>2</v>
      </c>
      <c r="J5">
        <v>3</v>
      </c>
      <c r="K5">
        <v>3</v>
      </c>
      <c r="L5">
        <v>2</v>
      </c>
      <c r="M5">
        <v>4</v>
      </c>
      <c r="N5">
        <v>3</v>
      </c>
      <c r="O5">
        <f t="shared" si="0"/>
        <v>2.7272727272727271</v>
      </c>
    </row>
    <row r="6" spans="1:19" x14ac:dyDescent="0.45">
      <c r="A6">
        <v>31</v>
      </c>
      <c r="B6" t="s">
        <v>43</v>
      </c>
      <c r="C6" t="s">
        <v>10</v>
      </c>
      <c r="D6">
        <v>6</v>
      </c>
      <c r="E6">
        <v>6</v>
      </c>
      <c r="F6">
        <v>6</v>
      </c>
      <c r="G6">
        <v>4</v>
      </c>
      <c r="H6">
        <v>7</v>
      </c>
      <c r="I6">
        <v>6</v>
      </c>
      <c r="J6">
        <v>6</v>
      </c>
      <c r="K6">
        <v>7</v>
      </c>
      <c r="L6">
        <v>6</v>
      </c>
      <c r="M6">
        <v>4</v>
      </c>
      <c r="N6">
        <v>6</v>
      </c>
      <c r="O6">
        <f t="shared" si="0"/>
        <v>5.8181818181818183</v>
      </c>
      <c r="P6">
        <v>1</v>
      </c>
      <c r="S6" t="s">
        <v>69</v>
      </c>
    </row>
    <row r="7" spans="1:19" x14ac:dyDescent="0.45">
      <c r="A7">
        <v>31</v>
      </c>
      <c r="B7" t="s">
        <v>43</v>
      </c>
      <c r="C7" t="s">
        <v>11</v>
      </c>
      <c r="D7">
        <v>2</v>
      </c>
      <c r="E7">
        <v>4</v>
      </c>
      <c r="F7">
        <v>3</v>
      </c>
      <c r="G7">
        <v>4</v>
      </c>
      <c r="H7">
        <v>1</v>
      </c>
      <c r="I7">
        <v>2</v>
      </c>
      <c r="J7">
        <v>2</v>
      </c>
      <c r="K7">
        <v>2</v>
      </c>
      <c r="L7">
        <v>2</v>
      </c>
      <c r="M7">
        <v>4</v>
      </c>
      <c r="N7">
        <v>2</v>
      </c>
      <c r="O7">
        <f t="shared" si="0"/>
        <v>2.5454545454545454</v>
      </c>
    </row>
    <row r="8" spans="1:19" ht="28.5" x14ac:dyDescent="0.45">
      <c r="A8">
        <v>32</v>
      </c>
      <c r="B8" t="s">
        <v>44</v>
      </c>
      <c r="C8" t="s">
        <v>10</v>
      </c>
      <c r="D8">
        <v>6</v>
      </c>
      <c r="E8">
        <v>5</v>
      </c>
      <c r="F8">
        <v>2</v>
      </c>
      <c r="G8">
        <v>3</v>
      </c>
      <c r="H8">
        <v>5</v>
      </c>
      <c r="I8">
        <v>4</v>
      </c>
      <c r="J8">
        <v>4</v>
      </c>
      <c r="K8">
        <v>5</v>
      </c>
      <c r="L8">
        <v>4</v>
      </c>
      <c r="M8">
        <v>4</v>
      </c>
      <c r="N8">
        <v>4</v>
      </c>
      <c r="O8">
        <f t="shared" si="0"/>
        <v>4.1818181818181817</v>
      </c>
      <c r="P8">
        <v>1</v>
      </c>
      <c r="Q8" s="1" t="s">
        <v>85</v>
      </c>
      <c r="R8" s="1" t="s">
        <v>96</v>
      </c>
      <c r="S8" t="s">
        <v>69</v>
      </c>
    </row>
    <row r="9" spans="1:19" x14ac:dyDescent="0.45">
      <c r="A9">
        <v>32</v>
      </c>
      <c r="B9" t="s">
        <v>44</v>
      </c>
      <c r="C9" t="s">
        <v>11</v>
      </c>
      <c r="D9">
        <v>3</v>
      </c>
      <c r="E9">
        <v>4</v>
      </c>
      <c r="F9">
        <v>6</v>
      </c>
      <c r="G9">
        <v>7</v>
      </c>
      <c r="H9">
        <v>2</v>
      </c>
      <c r="I9">
        <v>5</v>
      </c>
      <c r="J9">
        <v>5</v>
      </c>
      <c r="K9">
        <v>2</v>
      </c>
      <c r="L9">
        <v>2</v>
      </c>
      <c r="M9">
        <v>4</v>
      </c>
      <c r="N9">
        <v>4</v>
      </c>
      <c r="O9">
        <f t="shared" si="0"/>
        <v>4</v>
      </c>
    </row>
    <row r="10" spans="1:19" ht="28.5" x14ac:dyDescent="0.45">
      <c r="A10">
        <v>33</v>
      </c>
      <c r="B10" t="s">
        <v>45</v>
      </c>
      <c r="C10" t="s">
        <v>10</v>
      </c>
      <c r="D10">
        <v>5</v>
      </c>
      <c r="E10">
        <v>4</v>
      </c>
      <c r="F10">
        <v>1</v>
      </c>
      <c r="G10">
        <v>2</v>
      </c>
      <c r="H10">
        <v>4</v>
      </c>
      <c r="I10">
        <v>5</v>
      </c>
      <c r="J10">
        <v>2</v>
      </c>
      <c r="K10">
        <v>6</v>
      </c>
      <c r="L10">
        <v>3</v>
      </c>
      <c r="M10">
        <v>4</v>
      </c>
      <c r="N10">
        <v>4</v>
      </c>
      <c r="O10">
        <f t="shared" si="0"/>
        <v>3.6363636363636362</v>
      </c>
      <c r="P10" t="s">
        <v>65</v>
      </c>
      <c r="Q10" s="1" t="s">
        <v>86</v>
      </c>
      <c r="R10" s="1" t="s">
        <v>97</v>
      </c>
      <c r="S10" t="s">
        <v>69</v>
      </c>
    </row>
    <row r="11" spans="1:19" x14ac:dyDescent="0.45">
      <c r="A11">
        <v>33</v>
      </c>
      <c r="B11" t="s">
        <v>45</v>
      </c>
      <c r="C11" t="s">
        <v>11</v>
      </c>
      <c r="D11">
        <v>2</v>
      </c>
      <c r="E11">
        <v>5</v>
      </c>
      <c r="F11">
        <v>7</v>
      </c>
      <c r="G11">
        <v>7</v>
      </c>
      <c r="H11">
        <v>4</v>
      </c>
      <c r="I11">
        <v>6</v>
      </c>
      <c r="J11">
        <v>6</v>
      </c>
      <c r="K11">
        <v>5</v>
      </c>
      <c r="L11">
        <v>3</v>
      </c>
      <c r="M11">
        <v>4</v>
      </c>
      <c r="N11">
        <v>3</v>
      </c>
      <c r="O11">
        <f t="shared" si="0"/>
        <v>4.7272727272727275</v>
      </c>
    </row>
    <row r="12" spans="1:19" x14ac:dyDescent="0.45">
      <c r="A12">
        <v>34</v>
      </c>
      <c r="B12" t="s">
        <v>46</v>
      </c>
      <c r="C12" t="s">
        <v>10</v>
      </c>
      <c r="D12">
        <v>7</v>
      </c>
      <c r="E12">
        <v>5</v>
      </c>
      <c r="F12">
        <v>5</v>
      </c>
      <c r="G12">
        <v>4</v>
      </c>
      <c r="H12">
        <v>5</v>
      </c>
      <c r="I12">
        <v>6</v>
      </c>
      <c r="J12">
        <v>5</v>
      </c>
      <c r="K12">
        <v>5</v>
      </c>
      <c r="L12">
        <v>3</v>
      </c>
      <c r="M12">
        <v>5</v>
      </c>
      <c r="N12">
        <v>5</v>
      </c>
      <c r="O12">
        <f t="shared" si="0"/>
        <v>5</v>
      </c>
      <c r="P12" t="s">
        <v>65</v>
      </c>
      <c r="Q12" s="1" t="s">
        <v>87</v>
      </c>
      <c r="R12" s="1" t="s">
        <v>97</v>
      </c>
      <c r="S12" t="s">
        <v>69</v>
      </c>
    </row>
    <row r="13" spans="1:19" x14ac:dyDescent="0.45">
      <c r="A13">
        <v>34</v>
      </c>
      <c r="B13" t="s">
        <v>46</v>
      </c>
      <c r="C13" t="s">
        <v>11</v>
      </c>
      <c r="D13">
        <v>2</v>
      </c>
      <c r="E13">
        <v>4</v>
      </c>
      <c r="F13">
        <v>4</v>
      </c>
      <c r="G13">
        <v>5</v>
      </c>
      <c r="H13">
        <v>2</v>
      </c>
      <c r="I13">
        <v>3</v>
      </c>
      <c r="J13">
        <v>3</v>
      </c>
      <c r="K13">
        <v>4</v>
      </c>
      <c r="L13">
        <v>3</v>
      </c>
      <c r="M13">
        <v>4</v>
      </c>
      <c r="N13">
        <v>2</v>
      </c>
      <c r="O13">
        <f t="shared" si="0"/>
        <v>3.2727272727272729</v>
      </c>
    </row>
    <row r="14" spans="1:19" ht="28.5" x14ac:dyDescent="0.45">
      <c r="A14">
        <v>35</v>
      </c>
      <c r="B14" t="s">
        <v>47</v>
      </c>
      <c r="C14" t="s">
        <v>10</v>
      </c>
      <c r="D14">
        <v>5</v>
      </c>
      <c r="E14">
        <v>4</v>
      </c>
      <c r="F14">
        <v>5</v>
      </c>
      <c r="G14">
        <v>2</v>
      </c>
      <c r="H14">
        <v>6</v>
      </c>
      <c r="I14">
        <v>7</v>
      </c>
      <c r="J14">
        <v>7</v>
      </c>
      <c r="K14">
        <v>7</v>
      </c>
      <c r="L14">
        <v>5</v>
      </c>
      <c r="M14">
        <v>6</v>
      </c>
      <c r="N14">
        <v>7</v>
      </c>
      <c r="O14">
        <f t="shared" si="0"/>
        <v>5.5454545454545459</v>
      </c>
      <c r="P14">
        <v>1</v>
      </c>
      <c r="R14" s="1" t="s">
        <v>98</v>
      </c>
      <c r="S14" t="s">
        <v>69</v>
      </c>
    </row>
    <row r="15" spans="1:19" x14ac:dyDescent="0.45">
      <c r="A15">
        <v>35</v>
      </c>
      <c r="B15" t="s">
        <v>47</v>
      </c>
      <c r="C15" t="s">
        <v>11</v>
      </c>
      <c r="D15">
        <v>3</v>
      </c>
      <c r="E15">
        <v>3</v>
      </c>
      <c r="F15">
        <v>2</v>
      </c>
      <c r="G15">
        <v>6</v>
      </c>
      <c r="H15">
        <v>2</v>
      </c>
      <c r="I15">
        <v>2</v>
      </c>
      <c r="J15">
        <v>2</v>
      </c>
      <c r="K15">
        <v>1</v>
      </c>
      <c r="L15">
        <v>2</v>
      </c>
      <c r="M15">
        <v>3</v>
      </c>
      <c r="N15">
        <v>1</v>
      </c>
      <c r="O15">
        <f t="shared" si="0"/>
        <v>2.4545454545454546</v>
      </c>
    </row>
    <row r="16" spans="1:19" ht="42.75" x14ac:dyDescent="0.45">
      <c r="A16">
        <v>36</v>
      </c>
      <c r="B16" t="s">
        <v>48</v>
      </c>
      <c r="C16" t="s">
        <v>10</v>
      </c>
      <c r="D16">
        <v>4</v>
      </c>
      <c r="E16">
        <v>5</v>
      </c>
      <c r="F16">
        <v>3</v>
      </c>
      <c r="G16">
        <v>3</v>
      </c>
      <c r="H16">
        <v>5</v>
      </c>
      <c r="I16">
        <v>6</v>
      </c>
      <c r="J16">
        <v>6</v>
      </c>
      <c r="K16">
        <v>7</v>
      </c>
      <c r="L16">
        <v>5</v>
      </c>
      <c r="M16">
        <v>5</v>
      </c>
      <c r="N16">
        <v>5</v>
      </c>
      <c r="O16">
        <f t="shared" si="0"/>
        <v>4.9090909090909092</v>
      </c>
      <c r="P16">
        <v>1</v>
      </c>
      <c r="R16" s="1" t="s">
        <v>99</v>
      </c>
      <c r="S16" t="s">
        <v>69</v>
      </c>
    </row>
    <row r="17" spans="1:19" x14ac:dyDescent="0.45">
      <c r="A17">
        <v>36</v>
      </c>
      <c r="B17" t="s">
        <v>48</v>
      </c>
      <c r="C17" t="s">
        <v>11</v>
      </c>
      <c r="D17">
        <v>5</v>
      </c>
      <c r="E17">
        <v>5</v>
      </c>
      <c r="F17">
        <v>6</v>
      </c>
      <c r="G17">
        <v>5</v>
      </c>
      <c r="H17">
        <v>3</v>
      </c>
      <c r="I17">
        <v>3</v>
      </c>
      <c r="J17">
        <v>2</v>
      </c>
      <c r="K17">
        <v>1</v>
      </c>
      <c r="L17">
        <v>2</v>
      </c>
      <c r="M17">
        <v>4</v>
      </c>
      <c r="N17">
        <v>3</v>
      </c>
      <c r="O17">
        <f t="shared" si="0"/>
        <v>3.5454545454545454</v>
      </c>
    </row>
    <row r="18" spans="1:19" ht="57" x14ac:dyDescent="0.45">
      <c r="A18">
        <v>37</v>
      </c>
      <c r="B18" t="s">
        <v>49</v>
      </c>
      <c r="C18" t="s">
        <v>10</v>
      </c>
      <c r="D18">
        <v>7</v>
      </c>
      <c r="E18">
        <v>4</v>
      </c>
      <c r="F18">
        <v>5</v>
      </c>
      <c r="G18">
        <v>6</v>
      </c>
      <c r="H18">
        <v>6</v>
      </c>
      <c r="I18">
        <v>6</v>
      </c>
      <c r="J18">
        <v>7</v>
      </c>
      <c r="K18">
        <v>5</v>
      </c>
      <c r="L18">
        <v>4</v>
      </c>
      <c r="M18">
        <v>5</v>
      </c>
      <c r="N18">
        <v>7</v>
      </c>
      <c r="O18">
        <f t="shared" si="0"/>
        <v>5.6363636363636367</v>
      </c>
      <c r="P18">
        <v>0</v>
      </c>
      <c r="Q18" s="1" t="s">
        <v>88</v>
      </c>
      <c r="R18" s="1" t="s">
        <v>100</v>
      </c>
      <c r="S18" t="s">
        <v>69</v>
      </c>
    </row>
    <row r="19" spans="1:19" x14ac:dyDescent="0.45">
      <c r="A19">
        <v>37</v>
      </c>
      <c r="B19" t="s">
        <v>49</v>
      </c>
      <c r="C19" t="s">
        <v>11</v>
      </c>
      <c r="D19">
        <v>1</v>
      </c>
      <c r="E19">
        <v>6</v>
      </c>
      <c r="F19">
        <v>3</v>
      </c>
      <c r="G19">
        <v>3</v>
      </c>
      <c r="H19">
        <v>2</v>
      </c>
      <c r="I19">
        <v>3</v>
      </c>
      <c r="J19">
        <v>1</v>
      </c>
      <c r="K19">
        <v>1</v>
      </c>
      <c r="L19">
        <v>2</v>
      </c>
      <c r="M19">
        <v>4</v>
      </c>
      <c r="N19">
        <v>1</v>
      </c>
      <c r="O19">
        <f t="shared" si="0"/>
        <v>2.4545454545454546</v>
      </c>
      <c r="Q19" s="1" t="s">
        <v>40</v>
      </c>
    </row>
    <row r="20" spans="1:19" x14ac:dyDescent="0.45">
      <c r="A20">
        <v>38</v>
      </c>
      <c r="B20" t="s">
        <v>50</v>
      </c>
      <c r="C20" t="s">
        <v>10</v>
      </c>
      <c r="D20">
        <v>6</v>
      </c>
      <c r="E20">
        <v>3</v>
      </c>
      <c r="F20">
        <v>6</v>
      </c>
      <c r="G20">
        <v>4</v>
      </c>
      <c r="H20">
        <v>6</v>
      </c>
      <c r="I20">
        <v>5</v>
      </c>
      <c r="J20">
        <v>6</v>
      </c>
      <c r="K20">
        <v>6</v>
      </c>
      <c r="L20">
        <v>6</v>
      </c>
      <c r="M20">
        <v>5</v>
      </c>
      <c r="N20">
        <v>7</v>
      </c>
      <c r="O20">
        <f t="shared" si="0"/>
        <v>5.4545454545454541</v>
      </c>
      <c r="P20">
        <v>1</v>
      </c>
      <c r="R20" s="1" t="s">
        <v>101</v>
      </c>
      <c r="S20" t="s">
        <v>69</v>
      </c>
    </row>
    <row r="21" spans="1:19" x14ac:dyDescent="0.45">
      <c r="A21">
        <v>38</v>
      </c>
      <c r="B21" t="s">
        <v>50</v>
      </c>
      <c r="C21" t="s">
        <v>11</v>
      </c>
      <c r="D21">
        <v>2</v>
      </c>
      <c r="E21">
        <v>3</v>
      </c>
      <c r="F21">
        <v>3</v>
      </c>
      <c r="G21">
        <v>6</v>
      </c>
      <c r="H21">
        <v>1</v>
      </c>
      <c r="I21">
        <v>2</v>
      </c>
      <c r="J21">
        <v>2</v>
      </c>
      <c r="K21">
        <v>2</v>
      </c>
      <c r="L21">
        <v>1</v>
      </c>
      <c r="M21">
        <v>3</v>
      </c>
      <c r="N21">
        <v>1</v>
      </c>
      <c r="O21">
        <f t="shared" si="0"/>
        <v>2.3636363636363638</v>
      </c>
    </row>
    <row r="22" spans="1:19" ht="42.75" x14ac:dyDescent="0.45">
      <c r="A22">
        <v>39</v>
      </c>
      <c r="B22" t="s">
        <v>51</v>
      </c>
      <c r="C22" t="s">
        <v>10</v>
      </c>
      <c r="D22">
        <v>4</v>
      </c>
      <c r="E22">
        <v>5</v>
      </c>
      <c r="F22">
        <v>6</v>
      </c>
      <c r="G22">
        <v>5</v>
      </c>
      <c r="H22">
        <v>6</v>
      </c>
      <c r="I22">
        <v>5</v>
      </c>
      <c r="J22">
        <v>5</v>
      </c>
      <c r="K22">
        <v>4</v>
      </c>
      <c r="L22">
        <v>5</v>
      </c>
      <c r="M22">
        <v>5</v>
      </c>
      <c r="N22">
        <v>6</v>
      </c>
      <c r="O22">
        <f t="shared" si="0"/>
        <v>5.0909090909090908</v>
      </c>
      <c r="P22">
        <v>1</v>
      </c>
      <c r="R22" s="1" t="s">
        <v>102</v>
      </c>
      <c r="S22" t="s">
        <v>69</v>
      </c>
    </row>
    <row r="23" spans="1:19" x14ac:dyDescent="0.45">
      <c r="A23">
        <v>39</v>
      </c>
      <c r="B23" t="s">
        <v>51</v>
      </c>
      <c r="C23" t="s">
        <v>11</v>
      </c>
      <c r="D23">
        <v>5</v>
      </c>
      <c r="E23">
        <v>5</v>
      </c>
      <c r="F23">
        <v>3</v>
      </c>
      <c r="G23">
        <v>5</v>
      </c>
      <c r="H23">
        <v>1</v>
      </c>
      <c r="I23">
        <v>3</v>
      </c>
      <c r="J23">
        <v>3</v>
      </c>
      <c r="K23">
        <v>5</v>
      </c>
      <c r="L23">
        <v>2</v>
      </c>
      <c r="M23">
        <v>3</v>
      </c>
      <c r="N23">
        <v>2</v>
      </c>
      <c r="O23">
        <f t="shared" si="0"/>
        <v>3.3636363636363638</v>
      </c>
    </row>
    <row r="24" spans="1:19" x14ac:dyDescent="0.45">
      <c r="A24">
        <v>40</v>
      </c>
      <c r="B24" t="s">
        <v>52</v>
      </c>
      <c r="C24" t="s">
        <v>10</v>
      </c>
      <c r="D24">
        <v>5</v>
      </c>
      <c r="E24">
        <v>5</v>
      </c>
      <c r="F24">
        <v>5</v>
      </c>
      <c r="G24">
        <v>3</v>
      </c>
      <c r="H24">
        <v>6</v>
      </c>
      <c r="J24">
        <v>7</v>
      </c>
      <c r="K24">
        <v>6</v>
      </c>
      <c r="L24">
        <v>5</v>
      </c>
      <c r="M24">
        <v>5</v>
      </c>
      <c r="N24">
        <v>5</v>
      </c>
      <c r="O24">
        <f t="shared" si="0"/>
        <v>5.2</v>
      </c>
      <c r="P24">
        <v>1</v>
      </c>
      <c r="S24" t="s">
        <v>69</v>
      </c>
    </row>
    <row r="25" spans="1:19" x14ac:dyDescent="0.45">
      <c r="A25">
        <v>40</v>
      </c>
      <c r="B25" t="s">
        <v>52</v>
      </c>
      <c r="C25" t="s">
        <v>11</v>
      </c>
      <c r="D25">
        <v>3</v>
      </c>
      <c r="E25">
        <v>6</v>
      </c>
      <c r="F25">
        <v>2</v>
      </c>
      <c r="G25">
        <v>5</v>
      </c>
      <c r="H25">
        <v>1</v>
      </c>
      <c r="J25">
        <v>1</v>
      </c>
      <c r="K25">
        <v>3</v>
      </c>
      <c r="L25">
        <v>2</v>
      </c>
      <c r="M25">
        <v>3</v>
      </c>
      <c r="N25">
        <v>3</v>
      </c>
      <c r="O25">
        <f t="shared" si="0"/>
        <v>2.9</v>
      </c>
    </row>
    <row r="26" spans="1:19" ht="28.5" x14ac:dyDescent="0.45">
      <c r="A26">
        <v>41</v>
      </c>
      <c r="B26" t="s">
        <v>53</v>
      </c>
      <c r="C26" t="s">
        <v>10</v>
      </c>
      <c r="D26">
        <v>6</v>
      </c>
      <c r="E26">
        <v>4</v>
      </c>
      <c r="F26">
        <v>7</v>
      </c>
      <c r="G26">
        <v>6</v>
      </c>
      <c r="H26">
        <v>5</v>
      </c>
      <c r="J26">
        <v>5</v>
      </c>
      <c r="K26">
        <v>6</v>
      </c>
      <c r="L26">
        <v>5</v>
      </c>
      <c r="M26">
        <v>5</v>
      </c>
      <c r="N26">
        <v>5</v>
      </c>
      <c r="O26">
        <f t="shared" si="0"/>
        <v>5.4</v>
      </c>
      <c r="P26">
        <v>1</v>
      </c>
      <c r="Q26" s="1" t="s">
        <v>89</v>
      </c>
      <c r="R26" s="1" t="s">
        <v>103</v>
      </c>
      <c r="S26" t="s">
        <v>69</v>
      </c>
    </row>
    <row r="27" spans="1:19" x14ac:dyDescent="0.45">
      <c r="A27">
        <v>41</v>
      </c>
      <c r="B27" t="s">
        <v>53</v>
      </c>
      <c r="C27" t="s">
        <v>11</v>
      </c>
      <c r="D27">
        <v>2</v>
      </c>
      <c r="E27">
        <v>4</v>
      </c>
      <c r="F27">
        <v>2</v>
      </c>
      <c r="G27">
        <v>4</v>
      </c>
      <c r="H27">
        <v>1</v>
      </c>
      <c r="J27">
        <v>3</v>
      </c>
      <c r="K27">
        <v>3</v>
      </c>
      <c r="L27">
        <v>2</v>
      </c>
      <c r="M27">
        <v>4</v>
      </c>
      <c r="N27">
        <v>2</v>
      </c>
      <c r="O27">
        <f t="shared" si="0"/>
        <v>2.7</v>
      </c>
    </row>
    <row r="28" spans="1:19" x14ac:dyDescent="0.45">
      <c r="A28">
        <v>42</v>
      </c>
      <c r="B28" t="s">
        <v>54</v>
      </c>
      <c r="C28" t="s">
        <v>10</v>
      </c>
      <c r="D28">
        <v>4</v>
      </c>
      <c r="E28">
        <v>4</v>
      </c>
      <c r="F28">
        <v>3</v>
      </c>
      <c r="G28">
        <v>4</v>
      </c>
      <c r="H28">
        <v>6</v>
      </c>
      <c r="J28">
        <v>3</v>
      </c>
      <c r="K28">
        <v>5</v>
      </c>
      <c r="L28">
        <v>5</v>
      </c>
      <c r="M28">
        <v>5</v>
      </c>
      <c r="N28">
        <v>6</v>
      </c>
      <c r="O28">
        <f t="shared" si="0"/>
        <v>4.5</v>
      </c>
      <c r="P28">
        <v>1</v>
      </c>
      <c r="S28" t="s">
        <v>69</v>
      </c>
    </row>
    <row r="29" spans="1:19" x14ac:dyDescent="0.45">
      <c r="A29">
        <v>42</v>
      </c>
      <c r="B29" t="s">
        <v>54</v>
      </c>
      <c r="C29" t="s">
        <v>11</v>
      </c>
      <c r="D29">
        <v>4</v>
      </c>
      <c r="E29">
        <v>3</v>
      </c>
      <c r="F29">
        <v>3</v>
      </c>
      <c r="G29">
        <v>7</v>
      </c>
      <c r="H29">
        <v>1</v>
      </c>
      <c r="J29">
        <v>4</v>
      </c>
      <c r="K29">
        <v>2</v>
      </c>
      <c r="L29">
        <v>2</v>
      </c>
      <c r="M29">
        <v>4</v>
      </c>
      <c r="N29">
        <v>2</v>
      </c>
      <c r="O29">
        <f t="shared" si="0"/>
        <v>3.2</v>
      </c>
    </row>
    <row r="30" spans="1:19" ht="42.75" x14ac:dyDescent="0.45">
      <c r="A30">
        <v>43</v>
      </c>
      <c r="B30" t="s">
        <v>55</v>
      </c>
      <c r="C30" t="s">
        <v>10</v>
      </c>
      <c r="D30">
        <v>6</v>
      </c>
      <c r="E30">
        <v>5</v>
      </c>
      <c r="F30">
        <v>3</v>
      </c>
      <c r="G30">
        <v>4</v>
      </c>
      <c r="H30">
        <v>5</v>
      </c>
      <c r="J30">
        <v>5</v>
      </c>
      <c r="K30">
        <v>6</v>
      </c>
      <c r="L30">
        <v>4</v>
      </c>
      <c r="M30">
        <v>5</v>
      </c>
      <c r="N30">
        <v>6</v>
      </c>
      <c r="O30">
        <f t="shared" si="0"/>
        <v>4.9000000000000004</v>
      </c>
      <c r="P30">
        <v>1</v>
      </c>
      <c r="Q30" s="1" t="s">
        <v>90</v>
      </c>
      <c r="S30" t="s">
        <v>69</v>
      </c>
    </row>
    <row r="31" spans="1:19" x14ac:dyDescent="0.45">
      <c r="A31">
        <v>43</v>
      </c>
      <c r="B31" t="s">
        <v>55</v>
      </c>
      <c r="C31" t="s">
        <v>11</v>
      </c>
      <c r="D31">
        <v>2</v>
      </c>
      <c r="E31">
        <v>4</v>
      </c>
      <c r="F31">
        <v>5</v>
      </c>
      <c r="G31">
        <v>6</v>
      </c>
      <c r="H31">
        <v>2</v>
      </c>
      <c r="J31">
        <v>3</v>
      </c>
      <c r="K31">
        <v>3</v>
      </c>
      <c r="L31">
        <v>2</v>
      </c>
      <c r="M31">
        <v>3</v>
      </c>
      <c r="N31">
        <v>2</v>
      </c>
      <c r="O31">
        <f t="shared" si="0"/>
        <v>3.2</v>
      </c>
    </row>
    <row r="32" spans="1:19" ht="71.25" x14ac:dyDescent="0.45">
      <c r="A32">
        <v>44</v>
      </c>
      <c r="B32" t="s">
        <v>56</v>
      </c>
      <c r="C32" t="s">
        <v>10</v>
      </c>
      <c r="D32">
        <v>5</v>
      </c>
      <c r="E32">
        <v>4</v>
      </c>
      <c r="F32">
        <v>5</v>
      </c>
      <c r="G32">
        <v>3</v>
      </c>
      <c r="H32">
        <v>4</v>
      </c>
      <c r="J32">
        <v>6</v>
      </c>
      <c r="K32">
        <v>6</v>
      </c>
      <c r="L32">
        <v>5</v>
      </c>
      <c r="M32">
        <v>4</v>
      </c>
      <c r="N32">
        <v>5</v>
      </c>
      <c r="O32">
        <f t="shared" si="0"/>
        <v>4.7</v>
      </c>
      <c r="P32">
        <v>1</v>
      </c>
      <c r="R32" s="1" t="s">
        <v>104</v>
      </c>
      <c r="S32" t="s">
        <v>69</v>
      </c>
    </row>
    <row r="33" spans="1:19" x14ac:dyDescent="0.45">
      <c r="A33">
        <v>44</v>
      </c>
      <c r="B33" t="s">
        <v>56</v>
      </c>
      <c r="C33" t="s">
        <v>11</v>
      </c>
      <c r="D33">
        <v>3</v>
      </c>
      <c r="E33">
        <v>6</v>
      </c>
      <c r="F33">
        <v>6</v>
      </c>
      <c r="G33">
        <v>5</v>
      </c>
      <c r="H33">
        <v>2</v>
      </c>
      <c r="J33">
        <v>3</v>
      </c>
      <c r="K33">
        <v>2</v>
      </c>
      <c r="L33">
        <v>2</v>
      </c>
      <c r="M33">
        <v>3</v>
      </c>
      <c r="N33">
        <v>2</v>
      </c>
      <c r="O33">
        <f t="shared" si="0"/>
        <v>3.4</v>
      </c>
    </row>
    <row r="34" spans="1:19" ht="28.5" x14ac:dyDescent="0.45">
      <c r="A34">
        <v>45</v>
      </c>
      <c r="B34" t="s">
        <v>57</v>
      </c>
      <c r="C34" t="s">
        <v>10</v>
      </c>
      <c r="D34">
        <v>6</v>
      </c>
      <c r="E34">
        <v>5</v>
      </c>
      <c r="F34">
        <v>5</v>
      </c>
      <c r="G34">
        <v>7</v>
      </c>
      <c r="H34">
        <v>4</v>
      </c>
      <c r="J34">
        <v>7</v>
      </c>
      <c r="K34">
        <v>7</v>
      </c>
      <c r="L34">
        <v>4</v>
      </c>
      <c r="M34">
        <v>4</v>
      </c>
      <c r="N34">
        <v>4</v>
      </c>
      <c r="O34">
        <f t="shared" si="0"/>
        <v>5.3</v>
      </c>
      <c r="P34">
        <v>1</v>
      </c>
      <c r="R34" s="1" t="s">
        <v>105</v>
      </c>
      <c r="S34" t="s">
        <v>69</v>
      </c>
    </row>
    <row r="35" spans="1:19" x14ac:dyDescent="0.45">
      <c r="A35">
        <v>45</v>
      </c>
      <c r="B35" t="s">
        <v>57</v>
      </c>
      <c r="C35" t="s">
        <v>11</v>
      </c>
      <c r="D35">
        <v>2</v>
      </c>
      <c r="E35">
        <v>5</v>
      </c>
      <c r="F35">
        <v>5</v>
      </c>
      <c r="G35">
        <v>5</v>
      </c>
      <c r="H35">
        <v>3</v>
      </c>
      <c r="J35">
        <v>2</v>
      </c>
      <c r="K35">
        <v>3</v>
      </c>
      <c r="L35">
        <v>2</v>
      </c>
      <c r="M35">
        <v>4</v>
      </c>
      <c r="N35">
        <v>4</v>
      </c>
      <c r="O35">
        <f t="shared" si="0"/>
        <v>3.5</v>
      </c>
    </row>
    <row r="36" spans="1:19" ht="28.5" x14ac:dyDescent="0.45">
      <c r="A36">
        <v>46</v>
      </c>
      <c r="B36" t="s">
        <v>58</v>
      </c>
      <c r="C36" t="s">
        <v>10</v>
      </c>
      <c r="D36">
        <v>5</v>
      </c>
      <c r="E36">
        <v>5</v>
      </c>
      <c r="F36">
        <v>5</v>
      </c>
      <c r="G36">
        <v>4</v>
      </c>
      <c r="H36">
        <v>4</v>
      </c>
      <c r="J36">
        <v>6</v>
      </c>
      <c r="K36">
        <v>6</v>
      </c>
      <c r="L36">
        <v>5</v>
      </c>
      <c r="M36">
        <v>4</v>
      </c>
      <c r="N36">
        <v>4</v>
      </c>
      <c r="O36">
        <f t="shared" si="0"/>
        <v>4.8</v>
      </c>
      <c r="P36">
        <v>1</v>
      </c>
      <c r="Q36" s="1" t="s">
        <v>91</v>
      </c>
      <c r="R36" s="1" t="s">
        <v>106</v>
      </c>
      <c r="S36" t="s">
        <v>69</v>
      </c>
    </row>
    <row r="37" spans="1:19" x14ac:dyDescent="0.45">
      <c r="A37">
        <v>46</v>
      </c>
      <c r="B37" t="s">
        <v>58</v>
      </c>
      <c r="C37" t="s">
        <v>11</v>
      </c>
      <c r="D37">
        <v>5</v>
      </c>
      <c r="E37">
        <v>3</v>
      </c>
      <c r="F37">
        <v>3</v>
      </c>
      <c r="G37">
        <v>4</v>
      </c>
      <c r="H37">
        <v>5</v>
      </c>
      <c r="J37">
        <v>2</v>
      </c>
      <c r="K37">
        <v>3</v>
      </c>
      <c r="L37">
        <v>2</v>
      </c>
      <c r="M37">
        <v>4</v>
      </c>
      <c r="N37">
        <v>4</v>
      </c>
      <c r="O37">
        <f t="shared" si="0"/>
        <v>3.5</v>
      </c>
    </row>
    <row r="38" spans="1:19" ht="71.25" x14ac:dyDescent="0.45">
      <c r="A38">
        <v>47</v>
      </c>
      <c r="B38" t="s">
        <v>59</v>
      </c>
      <c r="C38" t="s">
        <v>10</v>
      </c>
      <c r="D38">
        <v>5</v>
      </c>
      <c r="E38">
        <v>5</v>
      </c>
      <c r="F38">
        <v>5</v>
      </c>
      <c r="G38">
        <v>4</v>
      </c>
      <c r="H38">
        <v>4</v>
      </c>
      <c r="J38">
        <v>6</v>
      </c>
      <c r="K38">
        <v>5</v>
      </c>
      <c r="L38">
        <v>5</v>
      </c>
      <c r="M38">
        <v>5</v>
      </c>
      <c r="N38">
        <v>4</v>
      </c>
      <c r="O38">
        <f t="shared" si="0"/>
        <v>4.8</v>
      </c>
      <c r="P38">
        <v>1</v>
      </c>
      <c r="R38" s="1" t="s">
        <v>107</v>
      </c>
      <c r="S38" t="s">
        <v>69</v>
      </c>
    </row>
    <row r="39" spans="1:19" x14ac:dyDescent="0.45">
      <c r="A39">
        <v>47</v>
      </c>
      <c r="B39" t="s">
        <v>59</v>
      </c>
      <c r="C39" t="s">
        <v>11</v>
      </c>
      <c r="D39">
        <v>3</v>
      </c>
      <c r="E39">
        <v>5</v>
      </c>
      <c r="F39">
        <v>6</v>
      </c>
      <c r="G39">
        <v>6</v>
      </c>
      <c r="H39">
        <v>3</v>
      </c>
      <c r="J39">
        <v>2</v>
      </c>
      <c r="K39">
        <v>2</v>
      </c>
      <c r="L39">
        <v>2</v>
      </c>
      <c r="M39">
        <v>3</v>
      </c>
      <c r="N39">
        <v>4</v>
      </c>
      <c r="O39">
        <f t="shared" si="0"/>
        <v>3.6</v>
      </c>
    </row>
  </sheetData>
  <phoneticPr fontId="1" type="noConversion"/>
  <conditionalFormatting sqref="P2 O2:O39 P4 P6 P8 P10 P12 P14 P16 P18 P20 P22 P24 P26 P28 P30 P32 P34 P36 P38">
    <cfRule type="expression" dxfId="1" priority="1">
      <formula>OR(AND(C2="Lenguaje_Dificil",J2&gt;=3),AND(C2="Claridad",J2&lt;=5))</formula>
    </cfRule>
    <cfRule type="expression" dxfId="0" priority="2">
      <formula>OR(AND(C2="Lenguaje_Dificil",J2&lt;3),AND(C2="Claridad",J2&gt;5))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Conceptos General</vt:lpstr>
      <vt:lpstr>Proceso Solicitud</vt:lpstr>
      <vt:lpstr>Modalidades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2026-01-07T21:48:15Z</dcterms:created>
  <dcterms:modified xsi:type="dcterms:W3CDTF">2026-01-11T03:32:57Z</dcterms:modified>
</cp:coreProperties>
</file>